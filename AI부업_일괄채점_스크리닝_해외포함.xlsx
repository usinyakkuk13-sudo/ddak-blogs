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채점표" sheetId="1" state="visible" r:id="rId3"/>
    <sheet name="기준" sheetId="2" state="visible" r:id="rId4"/>
  </sheets>
  <definedNames>
    <definedName function="false" hidden="true" localSheetId="0" name="_xlnm._FilterDatabase" vbProcedure="false">채점표!$A$1:$T$41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<sst xmlns="http://schemas.openxmlformats.org/spreadsheetml/2006/main" count="187" uniqueCount="137">
  <si>
    <t xml:space="preserve">카테고리</t>
  </si>
  <si>
    <t xml:space="preserve">부업 모델</t>
  </si>
  <si>
    <t xml:space="preserve">A</t>
  </si>
  <si>
    <t xml:space="preserve">I</t>
  </si>
  <si>
    <t xml:space="preserve">P</t>
  </si>
  <si>
    <t xml:space="preserve">Q</t>
  </si>
  <si>
    <t xml:space="preserve">S</t>
  </si>
  <si>
    <t xml:space="preserve">M</t>
  </si>
  <si>
    <t xml:space="preserve">D</t>
  </si>
  <si>
    <t xml:space="preserve">R</t>
  </si>
  <si>
    <t xml:space="preserve">C</t>
  </si>
  <si>
    <t xml:space="preserve">G</t>
  </si>
  <si>
    <t xml:space="preserve">E</t>
  </si>
  <si>
    <t xml:space="preserve">노베이스
원점수</t>
  </si>
  <si>
    <t xml:space="preserve">노베이스
최종</t>
  </si>
  <si>
    <t xml:space="preserve">유베이스
원점수</t>
  </si>
  <si>
    <t xml:space="preserve">유베이스
최종</t>
  </si>
  <si>
    <t xml:space="preserve">판정
(노베이스)</t>
  </si>
  <si>
    <t xml:space="preserve">판정
(유베이스)</t>
  </si>
  <si>
    <t xml:space="preserve">⚠</t>
  </si>
  <si>
    <t xml:space="preserve">핵심 리스크 · 비고</t>
  </si>
  <si>
    <t xml:space="preserve">콘텐츠·미디어</t>
  </si>
  <si>
    <t xml:space="preserve">전자책 크몽·리틀리 (국문 노하우)</t>
  </si>
  <si>
    <t xml:space="preserve">딥리서치 검증 완료 모델. 경력 증빙 요구가 오히려 강사에게 해자</t>
  </si>
  <si>
    <t xml:space="preserve">지식·교육</t>
  </si>
  <si>
    <t xml:space="preserve">인프런·크몽 강의 상품화</t>
  </si>
  <si>
    <t xml:space="preserve">딥리서치 검증 완료 71점. 앞에서 노동, 뒤에서 자동 판매</t>
  </si>
  <si>
    <t xml:space="preserve">유튜브 교육 채널 (얼굴 공개)</t>
  </si>
  <si>
    <r>
      <rPr>
        <sz val="9"/>
        <rFont val="Arial"/>
        <family val="0"/>
        <charset val="1"/>
      </rPr>
      <t xml:space="preserve">[</t>
    </r>
    <r>
      <rPr>
        <sz val="9"/>
        <rFont val="Noto Sans CJK SC"/>
        <family val="2"/>
      </rPr>
      <t xml:space="preserve">검증완료</t>
    </r>
    <r>
      <rPr>
        <sz val="9"/>
        <rFont val="Arial"/>
        <family val="0"/>
        <charset val="1"/>
      </rPr>
      <t xml:space="preserve">] </t>
    </r>
    <r>
      <rPr>
        <sz val="9"/>
        <rFont val="Noto Sans CJK SC"/>
        <family val="2"/>
      </rPr>
      <t xml:space="preserve">얼굴</t>
    </r>
    <r>
      <rPr>
        <sz val="9"/>
        <rFont val="Arial"/>
        <family val="0"/>
        <charset val="1"/>
      </rPr>
      <t xml:space="preserve">+</t>
    </r>
    <r>
      <rPr>
        <sz val="9"/>
        <rFont val="Noto Sans CJK SC"/>
        <family val="2"/>
      </rPr>
      <t xml:space="preserve">본인해설 </t>
    </r>
    <r>
      <rPr>
        <sz val="9"/>
        <rFont val="Arial"/>
        <family val="0"/>
        <charset val="1"/>
      </rPr>
      <t xml:space="preserve">= </t>
    </r>
    <r>
      <rPr>
        <sz val="9"/>
        <rFont val="Noto Sans CJK SC"/>
        <family val="2"/>
      </rPr>
      <t xml:space="preserve">비진정성 정책 공식 면제 확인</t>
    </r>
    <r>
      <rPr>
        <sz val="9"/>
        <rFont val="Arial"/>
        <family val="0"/>
        <charset val="1"/>
      </rPr>
      <t xml:space="preserve">, AI</t>
    </r>
    <r>
      <rPr>
        <sz val="9"/>
        <rFont val="Noto Sans CJK SC"/>
        <family val="2"/>
      </rPr>
      <t xml:space="preserve">슬롭 퇴출의 반사이익 → </t>
    </r>
    <r>
      <rPr>
        <sz val="9"/>
        <rFont val="Arial"/>
        <family val="0"/>
        <charset val="1"/>
      </rPr>
      <t xml:space="preserve">G 4.5. </t>
    </r>
    <r>
      <rPr>
        <sz val="9"/>
        <rFont val="Noto Sans CJK SC"/>
        <family val="2"/>
      </rPr>
      <t xml:space="preserve">교육</t>
    </r>
    <r>
      <rPr>
        <sz val="9"/>
        <rFont val="Arial"/>
        <family val="0"/>
        <charset val="1"/>
      </rPr>
      <t xml:space="preserve">/IT CPM </t>
    </r>
    <r>
      <rPr>
        <sz val="9"/>
        <rFont val="Noto Sans CJK SC"/>
        <family val="2"/>
      </rPr>
      <t xml:space="preserve">최대 </t>
    </r>
    <r>
      <rPr>
        <sz val="9"/>
        <rFont val="Arial"/>
        <family val="0"/>
        <charset val="1"/>
      </rPr>
      <t xml:space="preserve">$36, 2.2</t>
    </r>
    <r>
      <rPr>
        <sz val="9"/>
        <rFont val="Noto Sans CJK SC"/>
        <family val="2"/>
      </rPr>
      <t xml:space="preserve">만 구독→수강생 </t>
    </r>
    <r>
      <rPr>
        <sz val="9"/>
        <rFont val="Arial"/>
        <family val="0"/>
        <charset val="1"/>
      </rPr>
      <t xml:space="preserve">5</t>
    </r>
    <r>
      <rPr>
        <sz val="9"/>
        <rFont val="Noto Sans CJK SC"/>
        <family val="2"/>
      </rPr>
      <t xml:space="preserve">천 등 전환 실사례 강력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단 </t>
    </r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만 구독까지 최대 </t>
    </r>
    <r>
      <rPr>
        <sz val="9"/>
        <rFont val="Arial"/>
        <family val="0"/>
        <charset val="1"/>
      </rPr>
      <t xml:space="preserve">2.5</t>
    </r>
    <r>
      <rPr>
        <sz val="9"/>
        <rFont val="Noto Sans CJK SC"/>
        <family val="2"/>
      </rPr>
      <t xml:space="preserve">년 무수익 계곡</t>
    </r>
  </si>
  <si>
    <r>
      <rPr>
        <b val="true"/>
        <sz val="10"/>
        <rFont val="Arial"/>
        <family val="0"/>
        <charset val="1"/>
      </rPr>
      <t xml:space="preserve">1:1 </t>
    </r>
    <r>
      <rPr>
        <b val="true"/>
        <sz val="10"/>
        <rFont val="Noto Sans CJK SC"/>
        <family val="2"/>
      </rPr>
      <t xml:space="preserve">온라인 코칭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컨설팅</t>
    </r>
  </si>
  <si>
    <t xml:space="preserve">시간을 파는 구조라 확장 불가. 단가·방어력은 최상급</t>
  </si>
  <si>
    <t xml:space="preserve">외주·서비스</t>
  </si>
  <si>
    <r>
      <rPr>
        <b val="true"/>
        <sz val="10"/>
        <rFont val="Arial"/>
        <family val="0"/>
        <charset val="1"/>
      </rPr>
      <t xml:space="preserve">PPT </t>
    </r>
    <r>
      <rPr>
        <b val="true"/>
        <sz val="10"/>
        <rFont val="Noto Sans CJK SC"/>
        <family val="2"/>
      </rPr>
      <t xml:space="preserve">제작 대행</t>
    </r>
  </si>
  <si>
    <t xml:space="preserve">강사 = 슬라이드 설계 전문가. 단 Gamma 대중화로 단가 압박</t>
  </si>
  <si>
    <t xml:space="preserve">엑셀 템플릿·가계부 판매</t>
  </si>
  <si>
    <t xml:space="preserve">노션과 유사. 실무 도메인 지식이 차별화</t>
  </si>
  <si>
    <t xml:space="preserve">유료 스터디·멤버십 커뮤니티</t>
  </si>
  <si>
    <r>
      <rPr>
        <sz val="9"/>
        <rFont val="Arial"/>
        <family val="0"/>
        <charset val="1"/>
      </rPr>
      <t xml:space="preserve">[</t>
    </r>
    <r>
      <rPr>
        <sz val="9"/>
        <rFont val="Noto Sans CJK SC"/>
        <family val="2"/>
      </rPr>
      <t xml:space="preserve">검증완료</t>
    </r>
    <r>
      <rPr>
        <sz val="9"/>
        <rFont val="Arial"/>
        <family val="0"/>
        <charset val="1"/>
      </rPr>
      <t xml:space="preserve">] </t>
    </r>
    <r>
      <rPr>
        <sz val="9"/>
        <rFont val="Noto Sans CJK SC"/>
        <family val="2"/>
      </rPr>
      <t xml:space="preserve">객단가 월 </t>
    </r>
    <r>
      <rPr>
        <sz val="9"/>
        <rFont val="Arial"/>
        <family val="0"/>
        <charset val="1"/>
      </rPr>
      <t xml:space="preserve">1~4</t>
    </r>
    <r>
      <rPr>
        <sz val="9"/>
        <rFont val="Noto Sans CJK SC"/>
        <family val="2"/>
      </rPr>
      <t xml:space="preserve">만 성립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독립 결제망 시 수수료 </t>
    </r>
    <r>
      <rPr>
        <sz val="9"/>
        <rFont val="Arial"/>
        <family val="0"/>
        <charset val="1"/>
      </rPr>
      <t xml:space="preserve">8%</t>
    </r>
    <r>
      <rPr>
        <sz val="9"/>
        <rFont val="Noto Sans CJK SC"/>
        <family val="2"/>
      </rPr>
      <t xml:space="preserve">대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그러나 환불 규제 가혹</t>
    </r>
    <r>
      <rPr>
        <sz val="9"/>
        <rFont val="Arial"/>
        <family val="0"/>
        <charset val="1"/>
      </rPr>
      <t xml:space="preserve">(7</t>
    </r>
    <r>
      <rPr>
        <sz val="9"/>
        <rFont val="Noto Sans CJK SC"/>
        <family val="2"/>
      </rPr>
      <t xml:space="preserve">일 청약철회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폐강시 </t>
    </r>
    <r>
      <rPr>
        <sz val="9"/>
        <rFont val="Arial"/>
        <family val="0"/>
        <charset val="1"/>
      </rPr>
      <t xml:space="preserve">5</t>
    </r>
    <r>
      <rPr>
        <sz val="9"/>
        <rFont val="Noto Sans CJK SC"/>
        <family val="2"/>
      </rPr>
      <t xml:space="preserve">일내 전액환불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공정위 제재 실사례</t>
    </r>
    <r>
      <rPr>
        <sz val="9"/>
        <rFont val="Arial"/>
        <family val="0"/>
        <charset val="1"/>
      </rPr>
      <t xml:space="preserve">) → Q 1.5 </t>
    </r>
    <r>
      <rPr>
        <sz val="9"/>
        <rFont val="Noto Sans CJK SC"/>
        <family val="2"/>
      </rPr>
      <t xml:space="preserve">조건부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이탈률 월 </t>
    </r>
    <r>
      <rPr>
        <sz val="9"/>
        <rFont val="Arial"/>
        <family val="0"/>
        <charset val="1"/>
      </rPr>
      <t xml:space="preserve">3~5%</t>
    </r>
    <r>
      <rPr>
        <sz val="9"/>
        <rFont val="Noto Sans CJK SC"/>
        <family val="2"/>
      </rPr>
      <t xml:space="preserve">가 생사선 </t>
    </r>
    <r>
      <rPr>
        <sz val="9"/>
        <rFont val="Arial"/>
        <family val="0"/>
        <charset val="1"/>
      </rPr>
      <t xml:space="preserve">[v2.1] R=5 </t>
    </r>
    <r>
      <rPr>
        <sz val="9"/>
        <rFont val="Noto Sans CJK SC"/>
        <family val="2"/>
      </rPr>
      <t xml:space="preserve">최대 수혜</t>
    </r>
    <r>
      <rPr>
        <sz val="9"/>
        <rFont val="Arial"/>
        <family val="0"/>
        <charset val="1"/>
      </rPr>
      <t xml:space="preserve">(65.5→71). </t>
    </r>
    <r>
      <rPr>
        <sz val="9"/>
        <rFont val="Noto Sans CJK SC"/>
        <family val="2"/>
      </rPr>
      <t xml:space="preserve">홀모지 유지율 렌즈로 재평가 상승</t>
    </r>
    <r>
      <rPr>
        <sz val="9"/>
        <rFont val="Arial"/>
        <family val="0"/>
        <charset val="1"/>
      </rPr>
      <t xml:space="preserve">.</t>
    </r>
  </si>
  <si>
    <t xml:space="preserve">이력서·자소서 첨삭</t>
  </si>
  <si>
    <t xml:space="preserve">강사의 코칭 경험 활용 가능. 시즌성 수요</t>
  </si>
  <si>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Noto Sans CJK SC"/>
        <family val="2"/>
      </rPr>
      <t xml:space="preserve">도입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프롬프트 컨설팅</t>
    </r>
  </si>
  <si>
    <t xml:space="preserve">강사는 '교육형 컨설팅'으로 전환 유리. 완전 노동</t>
  </si>
  <si>
    <t xml:space="preserve">노션 템플릿 판매</t>
  </si>
  <si>
    <t xml:space="preserve">제작 반자동. 마켓 포화 진행 중이나 니치 선점 여지</t>
  </si>
  <si>
    <t xml:space="preserve">기업·기관 AI 특강 출강</t>
  </si>
  <si>
    <r>
      <rPr>
        <sz val="9"/>
        <rFont val="Arial"/>
        <family val="0"/>
        <charset val="1"/>
      </rPr>
      <t xml:space="preserve">[</t>
    </r>
    <r>
      <rPr>
        <sz val="9"/>
        <rFont val="Noto Sans CJK SC"/>
        <family val="2"/>
      </rPr>
      <t xml:space="preserve">검증완료</t>
    </r>
    <r>
      <rPr>
        <sz val="9"/>
        <rFont val="Arial"/>
        <family val="0"/>
        <charset val="1"/>
      </rPr>
      <t xml:space="preserve">] </t>
    </r>
    <r>
      <rPr>
        <sz val="9"/>
        <rFont val="Noto Sans CJK SC"/>
        <family val="2"/>
      </rPr>
      <t xml:space="preserve">공공 상한 </t>
    </r>
    <r>
      <rPr>
        <sz val="9"/>
        <rFont val="Arial"/>
        <family val="0"/>
        <charset val="1"/>
      </rPr>
      <t xml:space="preserve">10~15</t>
    </r>
    <r>
      <rPr>
        <sz val="9"/>
        <rFont val="Noto Sans CJK SC"/>
        <family val="2"/>
      </rPr>
      <t xml:space="preserve">만</t>
    </r>
    <r>
      <rPr>
        <sz val="9"/>
        <rFont val="Arial"/>
        <family val="0"/>
        <charset val="1"/>
      </rPr>
      <t xml:space="preserve">/h(</t>
    </r>
    <r>
      <rPr>
        <sz val="9"/>
        <rFont val="Noto Sans CJK SC"/>
        <family val="2"/>
      </rPr>
      <t xml:space="preserve">경직</t>
    </r>
    <r>
      <rPr>
        <sz val="9"/>
        <rFont val="Arial"/>
        <family val="0"/>
        <charset val="1"/>
      </rPr>
      <t xml:space="preserve">), </t>
    </r>
    <r>
      <rPr>
        <sz val="9"/>
        <rFont val="Noto Sans CJK SC"/>
        <family val="2"/>
      </rPr>
      <t xml:space="preserve">민간 </t>
    </r>
    <r>
      <rPr>
        <sz val="9"/>
        <rFont val="Arial"/>
        <family val="0"/>
        <charset val="1"/>
      </rPr>
      <t xml:space="preserve">50~150</t>
    </r>
    <r>
      <rPr>
        <sz val="9"/>
        <rFont val="Noto Sans CJK SC"/>
        <family val="2"/>
      </rPr>
      <t xml:space="preserve">만이나 에이전시 </t>
    </r>
    <r>
      <rPr>
        <sz val="9"/>
        <rFont val="Arial"/>
        <family val="0"/>
        <charset val="1"/>
      </rPr>
      <t xml:space="preserve">30% </t>
    </r>
    <r>
      <rPr>
        <sz val="9"/>
        <rFont val="Noto Sans CJK SC"/>
        <family val="2"/>
      </rPr>
      <t xml:space="preserve">착취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국비 </t>
    </r>
    <r>
      <rPr>
        <sz val="9"/>
        <rFont val="Arial"/>
        <family val="0"/>
        <charset val="1"/>
      </rPr>
      <t xml:space="preserve">AI</t>
    </r>
    <r>
      <rPr>
        <sz val="9"/>
        <rFont val="Noto Sans CJK SC"/>
        <family val="2"/>
      </rPr>
      <t xml:space="preserve">강사 연 </t>
    </r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만명 양산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시간당 </t>
    </r>
    <r>
      <rPr>
        <sz val="9"/>
        <rFont val="Arial"/>
        <family val="0"/>
        <charset val="1"/>
      </rPr>
      <t xml:space="preserve">8.3</t>
    </r>
    <r>
      <rPr>
        <sz val="9"/>
        <rFont val="Noto Sans CJK SC"/>
        <family val="2"/>
      </rPr>
      <t xml:space="preserve">만 공고</t>
    </r>
    <r>
      <rPr>
        <sz val="9"/>
        <rFont val="Arial"/>
        <family val="0"/>
        <charset val="1"/>
      </rPr>
      <t xml:space="preserve">·VOD 65% </t>
    </r>
    <r>
      <rPr>
        <sz val="9"/>
        <rFont val="Noto Sans CJK SC"/>
        <family val="2"/>
      </rPr>
      <t xml:space="preserve">덤핑 등 단가붕괴 실증 → </t>
    </r>
    <r>
      <rPr>
        <sz val="9"/>
        <rFont val="Arial"/>
        <family val="0"/>
        <charset val="1"/>
      </rPr>
      <t xml:space="preserve">C 2. Zoom 6%</t>
    </r>
    <r>
      <rPr>
        <sz val="9"/>
        <rFont val="Noto Sans CJK SC"/>
        <family val="2"/>
      </rPr>
      <t xml:space="preserve">로 급락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오프라인 회귀로 물리적 한계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수요는 정부예산 </t>
    </r>
    <r>
      <rPr>
        <sz val="9"/>
        <rFont val="Arial"/>
        <family val="0"/>
        <charset val="1"/>
      </rPr>
      <t xml:space="preserve">10.1</t>
    </r>
    <r>
      <rPr>
        <sz val="9"/>
        <rFont val="Noto Sans CJK SC"/>
        <family val="2"/>
      </rPr>
      <t xml:space="preserve">조가 </t>
    </r>
    <r>
      <rPr>
        <sz val="9"/>
        <rFont val="Arial"/>
        <family val="0"/>
        <charset val="1"/>
      </rPr>
      <t xml:space="preserve">2~3</t>
    </r>
    <r>
      <rPr>
        <sz val="9"/>
        <rFont val="Noto Sans CJK SC"/>
        <family val="2"/>
      </rPr>
      <t xml:space="preserve">년 보장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정책 기생형</t>
    </r>
    <r>
      <rPr>
        <sz val="9"/>
        <rFont val="Arial"/>
        <family val="0"/>
        <charset val="1"/>
      </rPr>
      <t xml:space="preserve">)</t>
    </r>
  </si>
  <si>
    <t xml:space="preserve">커머스·기타</t>
  </si>
  <si>
    <t xml:space="preserve">데이터·시장 리포트 구독 서비스</t>
  </si>
  <si>
    <t xml:space="preserve">신뢰 구축 전까지 판매 난망. B2B 전환 시 단가 상승</t>
  </si>
  <si>
    <t xml:space="preserve">니치 뉴스레터 (유료 구독)</t>
  </si>
  <si>
    <r>
      <rPr>
        <sz val="9"/>
        <rFont val="Arial"/>
        <family val="0"/>
        <charset val="1"/>
      </rPr>
      <t xml:space="preserve">[</t>
    </r>
    <r>
      <rPr>
        <sz val="9"/>
        <rFont val="Noto Sans CJK SC"/>
        <family val="2"/>
      </rPr>
      <t xml:space="preserve">검증완료</t>
    </r>
    <r>
      <rPr>
        <sz val="9"/>
        <rFont val="Arial"/>
        <family val="0"/>
        <charset val="1"/>
      </rPr>
      <t xml:space="preserve">] </t>
    </r>
    <r>
      <rPr>
        <sz val="9"/>
        <rFont val="Noto Sans CJK SC"/>
        <family val="2"/>
      </rPr>
      <t xml:space="preserve">스티비 수수료 </t>
    </r>
    <r>
      <rPr>
        <sz val="9"/>
        <rFont val="Arial"/>
        <family val="0"/>
        <charset val="1"/>
      </rPr>
      <t xml:space="preserve">3.5%</t>
    </r>
    <r>
      <rPr>
        <sz val="9"/>
        <rFont val="Noto Sans CJK SC"/>
        <family val="2"/>
      </rPr>
      <t xml:space="preserve">로 마진 양호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발행 </t>
    </r>
    <r>
      <rPr>
        <sz val="9"/>
        <rFont val="Arial"/>
        <family val="0"/>
        <charset val="1"/>
      </rPr>
      <t xml:space="preserve">81% </t>
    </r>
    <r>
      <rPr>
        <sz val="9"/>
        <rFont val="Noto Sans CJK SC"/>
        <family val="2"/>
      </rPr>
      <t xml:space="preserve">자동화 실증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그러나 유료전환 </t>
    </r>
    <r>
      <rPr>
        <sz val="9"/>
        <rFont val="Arial"/>
        <family val="0"/>
        <charset val="1"/>
      </rPr>
      <t xml:space="preserve">5~10%, 1</t>
    </r>
    <r>
      <rPr>
        <sz val="9"/>
        <rFont val="Noto Sans CJK SC"/>
        <family val="2"/>
      </rPr>
      <t xml:space="preserve">천명 도달 평균 </t>
    </r>
    <r>
      <rPr>
        <sz val="9"/>
        <rFont val="Arial"/>
        <family val="0"/>
        <charset val="1"/>
      </rPr>
      <t xml:space="preserve">13</t>
    </r>
    <r>
      <rPr>
        <sz val="9"/>
        <rFont val="Noto Sans CJK SC"/>
        <family val="2"/>
      </rPr>
      <t xml:space="preserve">개월</t>
    </r>
    <r>
      <rPr>
        <sz val="9"/>
        <rFont val="Arial"/>
        <family val="0"/>
        <charset val="1"/>
      </rPr>
      <t xml:space="preserve">. AI </t>
    </r>
    <r>
      <rPr>
        <sz val="9"/>
        <rFont val="Noto Sans CJK SC"/>
        <family val="2"/>
      </rPr>
      <t xml:space="preserve">티나면 </t>
    </r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달만에 해지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스팸규제</t>
    </r>
    <r>
      <rPr>
        <sz val="9"/>
        <rFont val="Arial"/>
        <family val="0"/>
        <charset val="1"/>
      </rPr>
      <t xml:space="preserve">+</t>
    </r>
    <r>
      <rPr>
        <sz val="9"/>
        <rFont val="Noto Sans CJK SC"/>
        <family val="2"/>
      </rPr>
      <t xml:space="preserve">망법 과징금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매출 </t>
    </r>
    <r>
      <rPr>
        <sz val="9"/>
        <rFont val="Arial"/>
        <family val="0"/>
        <charset val="1"/>
      </rPr>
      <t xml:space="preserve">6%) </t>
    </r>
    <r>
      <rPr>
        <sz val="9"/>
        <rFont val="Noto Sans CJK SC"/>
        <family val="2"/>
      </rPr>
      <t xml:space="preserve">강화로 </t>
    </r>
    <r>
      <rPr>
        <sz val="9"/>
        <rFont val="Arial"/>
        <family val="0"/>
        <charset val="1"/>
      </rPr>
      <t xml:space="preserve">'</t>
    </r>
    <r>
      <rPr>
        <sz val="9"/>
        <rFont val="Noto Sans CJK SC"/>
        <family val="2"/>
      </rPr>
      <t xml:space="preserve">이메일</t>
    </r>
    <r>
      <rPr>
        <sz val="9"/>
        <rFont val="Arial"/>
        <family val="0"/>
        <charset val="1"/>
      </rPr>
      <t xml:space="preserve">=</t>
    </r>
    <r>
      <rPr>
        <sz val="9"/>
        <rFont val="Noto Sans CJK SC"/>
        <family val="2"/>
      </rPr>
      <t xml:space="preserve">안전</t>
    </r>
    <r>
      <rPr>
        <sz val="9"/>
        <rFont val="Arial"/>
        <family val="0"/>
        <charset val="1"/>
      </rPr>
      <t xml:space="preserve">' </t>
    </r>
    <r>
      <rPr>
        <sz val="9"/>
        <rFont val="Noto Sans CJK SC"/>
        <family val="2"/>
      </rPr>
      <t xml:space="preserve">통념 반증 → </t>
    </r>
    <r>
      <rPr>
        <sz val="9"/>
        <rFont val="Arial"/>
        <family val="0"/>
        <charset val="1"/>
      </rPr>
      <t xml:space="preserve">G</t>
    </r>
    <r>
      <rPr>
        <sz val="9"/>
        <rFont val="Noto Sans CJK SC"/>
        <family val="2"/>
      </rPr>
      <t xml:space="preserve">캡</t>
    </r>
  </si>
  <si>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Noto Sans CJK SC"/>
        <family val="2"/>
      </rPr>
      <t xml:space="preserve">팟캐스트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오디오 콘텐츠</t>
    </r>
  </si>
  <si>
    <t xml:space="preserve">국내 팟캐스트 광고 시장 작음. 청취자 확보 난망</t>
  </si>
  <si>
    <t xml:space="preserve">마이크로 SaaS 바이브코딩</t>
  </si>
  <si>
    <t xml:space="preserve">성공 시 최고 모델이나 D(고객 획득)가 최악의 병목</t>
  </si>
  <si>
    <r>
      <rPr>
        <b val="true"/>
        <sz val="10"/>
        <rFont val="Arial"/>
        <family val="0"/>
        <charset val="1"/>
      </rPr>
      <t xml:space="preserve">B2B </t>
    </r>
    <r>
      <rPr>
        <b val="true"/>
        <sz val="10"/>
        <rFont val="Noto Sans CJK SC"/>
        <family val="2"/>
      </rPr>
      <t xml:space="preserve">챗봇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워크플로우 구축 대행</t>
    </r>
  </si>
  <si>
    <t xml:space="preserve">마진 천문학적이나 영업·맞춤 개발 노동 집약 (v1 Case D)</t>
  </si>
  <si>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Noto Sans CJK SC"/>
        <family val="2"/>
      </rPr>
      <t xml:space="preserve">프로필 사진 서비스</t>
    </r>
  </si>
  <si>
    <r>
      <rPr>
        <sz val="9"/>
        <rFont val="Arial"/>
        <family val="0"/>
        <charset val="1"/>
      </rPr>
      <t xml:space="preserve">2023~24 </t>
    </r>
    <r>
      <rPr>
        <sz val="9"/>
        <rFont val="Noto Sans CJK SC"/>
        <family val="2"/>
      </rPr>
      <t xml:space="preserve">유행 정점 지남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앱들이 직접 서비스</t>
    </r>
  </si>
  <si>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Noto Sans CJK SC"/>
        <family val="2"/>
      </rPr>
      <t xml:space="preserve">번역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교정 외주</t>
    </r>
  </si>
  <si>
    <t xml:space="preserve">원문 제공되어 기획 불요. 직납품이라 플랫폼 안전. 노베이스 최적</t>
  </si>
  <si>
    <t xml:space="preserve">유튜브 자막·번역 납품</t>
  </si>
  <si>
    <t xml:space="preserve">번역 외주의 영상 특화판. 크리에이터 직거래 안정적</t>
  </si>
  <si>
    <t xml:space="preserve">블로그 대필·카피라이팅 외주</t>
  </si>
  <si>
    <t xml:space="preserve">클라이언트도 AI 쓸 수 있게 되며 단가 급락 중</t>
  </si>
  <si>
    <t xml:space="preserve">썸네일 제작 외주</t>
  </si>
  <si>
    <t xml:space="preserve">단가 낮고 카피캣 즉시 유입</t>
  </si>
  <si>
    <t xml:space="preserve">소상공인 SNS 운영 대행</t>
  </si>
  <si>
    <t xml:space="preserve">콘텐츠는 AI로, 고객 관리는 사람이. 월 계약 안정성은 장점</t>
  </si>
  <si>
    <t xml:space="preserve">상세페이지 제작 대행</t>
  </si>
  <si>
    <t xml:space="preserve">이커머스 수요 꾸준하나 경쟁 치열</t>
  </si>
  <si>
    <r>
      <rPr>
        <b val="true"/>
        <sz val="10"/>
        <rFont val="Arial"/>
        <family val="0"/>
        <charset val="1"/>
      </rPr>
      <t xml:space="preserve">POD </t>
    </r>
    <r>
      <rPr>
        <b val="true"/>
        <sz val="10"/>
        <rFont val="Noto Sans CJK SC"/>
        <family val="2"/>
      </rPr>
      <t xml:space="preserve">굿즈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마플샵</t>
    </r>
    <r>
      <rPr>
        <b val="true"/>
        <sz val="10"/>
        <rFont val="Arial"/>
        <family val="0"/>
        <charset val="1"/>
      </rPr>
      <t xml:space="preserve">·Printify)</t>
    </r>
  </si>
  <si>
    <t xml:space="preserve">디자인 딸깍이나 팔리는 디자인은 별개 문제</t>
  </si>
  <si>
    <t xml:space="preserve">정보성 블로그 + 애드센스</t>
  </si>
  <si>
    <t xml:space="preserve">제작은 완전 딸깍이나 구글 알고리즘이 상한. SEO 트래픽 수개월 무수익 (현재 진행 중 모델)</t>
  </si>
  <si>
    <t xml:space="preserve">유튜브 롱폼 썰·다큐 채널</t>
  </si>
  <si>
    <t xml:space="preserve">쇼츠보다 RPM 높으나 편당 제작 무겁고 동일 정책 리스크</t>
  </si>
  <si>
    <t xml:space="preserve">디지털 플래너 엣시 판매</t>
  </si>
  <si>
    <t xml:space="preserve">엣시 AI 정책·수수료 인상 이력, 영어권 경쟁 포화</t>
  </si>
  <si>
    <t xml:space="preserve">인스타 릴스 계정 → 협찬·공구</t>
  </si>
  <si>
    <t xml:space="preserve">계정 키우기 복불복. 릴스 도달 알고리즘 변동 심함</t>
  </si>
  <si>
    <t xml:space="preserve">영상 편집 외주 (AI 보조)</t>
  </si>
  <si>
    <r>
      <rPr>
        <sz val="9"/>
        <rFont val="Arial"/>
        <family val="0"/>
        <charset val="1"/>
      </rPr>
      <t xml:space="preserve">AI</t>
    </r>
    <r>
      <rPr>
        <sz val="9"/>
        <rFont val="Noto Sans CJK SC"/>
        <family val="2"/>
      </rPr>
      <t xml:space="preserve">는 컷편집 보조 수준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여전히 시간 갈아넣는 일</t>
    </r>
  </si>
  <si>
    <t xml:space="preserve">데이터 라벨링·AI 학습데이터 작업</t>
  </si>
  <si>
    <t xml:space="preserve">시급제 단순노동. 확장 불가, 단가 하락 중</t>
  </si>
  <si>
    <t xml:space="preserve">스마트스토어 위탁판매 (AI 상세페이지)</t>
  </si>
  <si>
    <t xml:space="preserve">상세페이지만 딸깍. CS·반품·소싱은 노동</t>
  </si>
  <si>
    <r>
      <rPr>
        <b val="true"/>
        <sz val="10"/>
        <rFont val="Arial"/>
        <family val="0"/>
        <charset val="1"/>
      </rPr>
      <t xml:space="preserve">GPTs·</t>
    </r>
    <r>
      <rPr>
        <b val="true"/>
        <sz val="10"/>
        <rFont val="Noto Sans CJK SC"/>
        <family val="2"/>
      </rPr>
      <t xml:space="preserve">프롬프트 템플릿 판매</t>
    </r>
  </si>
  <si>
    <t xml:space="preserve">스토어 수익화 불투명, 복제 무방비</t>
  </si>
  <si>
    <t xml:space="preserve">웹소설 AI 보조 연재</t>
  </si>
  <si>
    <t xml:space="preserve">연재 플랫폼 AI 규정 강화 추세. 필력·연독률은 AI로 해결 안 됨</t>
  </si>
  <si>
    <t xml:space="preserve">로고·디자인 외주 (AI)</t>
  </si>
  <si>
    <t xml:space="preserve">바닥 경쟁의 대표 사례. 시장가 0 수렴</t>
  </si>
  <si>
    <t xml:space="preserve">무명(Faceless) 유튜브 쇼츠</t>
  </si>
  <si>
    <r>
      <rPr>
        <sz val="9"/>
        <rFont val="Arial"/>
        <family val="0"/>
        <charset val="1"/>
      </rPr>
      <t xml:space="preserve">2025.7 '</t>
    </r>
    <r>
      <rPr>
        <sz val="9"/>
        <rFont val="Noto Sans CJK SC"/>
        <family val="2"/>
      </rPr>
      <t xml:space="preserve">비진정성 콘텐츠</t>
    </r>
    <r>
      <rPr>
        <sz val="9"/>
        <rFont val="Arial"/>
        <family val="0"/>
        <charset val="1"/>
      </rPr>
      <t xml:space="preserve">' </t>
    </r>
    <r>
      <rPr>
        <sz val="9"/>
        <rFont val="Noto Sans CJK SC"/>
        <family val="2"/>
      </rPr>
      <t xml:space="preserve">수익화 배제 정책 직격</t>
    </r>
    <r>
      <rPr>
        <sz val="9"/>
        <rFont val="Arial"/>
        <family val="0"/>
        <charset val="1"/>
      </rPr>
      <t xml:space="preserve">. RPM </t>
    </r>
    <r>
      <rPr>
        <sz val="9"/>
        <rFont val="Noto Sans CJK SC"/>
        <family val="2"/>
      </rPr>
      <t xml:space="preserve">극저</t>
    </r>
  </si>
  <si>
    <t xml:space="preserve">쿠팡파트너스 제휴 블로그</t>
  </si>
  <si>
    <t xml:space="preserve">구글+쿠팡 이중 플랫폼 의존. 저품질 필터·수수료 인하 이력</t>
  </si>
  <si>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Noto Sans CJK SC"/>
        <family val="2"/>
      </rPr>
      <t xml:space="preserve">그림책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아동서</t>
    </r>
  </si>
  <si>
    <t xml:space="preserve">시장 포화, 부모의 품질 민감도 높음</t>
  </si>
  <si>
    <t xml:space="preserve">스톡 이미지·AI 아트 판매</t>
  </si>
  <si>
    <r>
      <rPr>
        <sz val="9"/>
        <rFont val="Arial"/>
        <family val="0"/>
        <charset val="1"/>
      </rPr>
      <t xml:space="preserve">Adobe Stock </t>
    </r>
    <r>
      <rPr>
        <sz val="9"/>
        <rFont val="Noto Sans CJK SC"/>
        <family val="2"/>
      </rPr>
      <t xml:space="preserve">등 </t>
    </r>
    <r>
      <rPr>
        <sz val="9"/>
        <rFont val="Arial"/>
        <family val="0"/>
        <charset val="1"/>
      </rPr>
      <t xml:space="preserve">AI </t>
    </r>
    <r>
      <rPr>
        <sz val="9"/>
        <rFont val="Noto Sans CJK SC"/>
        <family val="2"/>
      </rPr>
      <t xml:space="preserve">규정 유동적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공급 폭증으로 단가 붕괴 중</t>
    </r>
  </si>
  <si>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Noto Sans CJK SC"/>
        <family val="2"/>
      </rPr>
      <t xml:space="preserve">음원</t>
    </r>
    <r>
      <rPr>
        <b val="true"/>
        <sz val="10"/>
        <rFont val="Arial"/>
        <family val="0"/>
        <charset val="1"/>
      </rPr>
      <t xml:space="preserve">·BGM </t>
    </r>
    <r>
      <rPr>
        <b val="true"/>
        <sz val="10"/>
        <rFont val="Noto Sans CJK SC"/>
        <family val="2"/>
      </rPr>
      <t xml:space="preserve">판매</t>
    </r>
  </si>
  <si>
    <r>
      <rPr>
        <sz val="9"/>
        <rFont val="Arial"/>
        <family val="0"/>
        <charset val="1"/>
      </rPr>
      <t xml:space="preserve">Suno </t>
    </r>
    <r>
      <rPr>
        <sz val="9"/>
        <rFont val="Noto Sans CJK SC"/>
        <family val="2"/>
      </rPr>
      <t xml:space="preserve">등 저작권 회색지대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스트리밍 플랫폼 </t>
    </r>
    <r>
      <rPr>
        <sz val="9"/>
        <rFont val="Arial"/>
        <family val="0"/>
        <charset val="1"/>
      </rPr>
      <t xml:space="preserve">AI </t>
    </r>
    <r>
      <rPr>
        <sz val="9"/>
        <rFont val="Noto Sans CJK SC"/>
        <family val="2"/>
      </rPr>
      <t xml:space="preserve">필터링 강화</t>
    </r>
  </si>
  <si>
    <t xml:space="preserve">전자책 아마존 KDP (영문)</t>
  </si>
  <si>
    <r>
      <rPr>
        <sz val="9"/>
        <rFont val="Arial"/>
        <family val="0"/>
        <charset val="1"/>
      </rPr>
      <t xml:space="preserve">AI </t>
    </r>
    <r>
      <rPr>
        <sz val="9"/>
        <rFont val="Noto Sans CJK SC"/>
        <family val="2"/>
      </rPr>
      <t xml:space="preserve">사용 신고 의무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일일 출판 제한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저품질 필터 최전선</t>
    </r>
  </si>
  <si>
    <t xml:space="preserve">해외·글로벌</t>
  </si>
  <si>
    <t xml:space="preserve">저경쟁언어 광고블로그 (예: 독일어·일본어)</t>
  </si>
  <si>
    <r>
      <rPr>
        <sz val="9"/>
        <rFont val="Arial"/>
        <family val="0"/>
        <charset val="1"/>
      </rPr>
      <t xml:space="preserve">[1</t>
    </r>
    <r>
      <rPr>
        <sz val="9"/>
        <rFont val="Noto Sans CJK SC"/>
        <family val="2"/>
      </rPr>
      <t xml:space="preserve">차스크리닝</t>
    </r>
    <r>
      <rPr>
        <sz val="9"/>
        <rFont val="Arial"/>
        <family val="0"/>
        <charset val="1"/>
      </rPr>
      <t xml:space="preserve">±10] </t>
    </r>
    <r>
      <rPr>
        <sz val="9"/>
        <rFont val="Noto Sans CJK SC"/>
        <family val="2"/>
      </rPr>
      <t xml:space="preserve">영어보다 경쟁 얇음</t>
    </r>
    <r>
      <rPr>
        <sz val="9"/>
        <rFont val="Arial"/>
        <family val="0"/>
        <charset val="1"/>
      </rPr>
      <t xml:space="preserve">(D·C↑)·RPM </t>
    </r>
    <r>
      <rPr>
        <sz val="9"/>
        <rFont val="Noto Sans CJK SC"/>
        <family val="2"/>
      </rPr>
      <t xml:space="preserve">양호</t>
    </r>
    <r>
      <rPr>
        <sz val="9"/>
        <rFont val="Arial"/>
        <family val="0"/>
        <charset val="1"/>
      </rPr>
      <t xml:space="preserve">(M↑). </t>
    </r>
    <r>
      <rPr>
        <sz val="9"/>
        <rFont val="Noto Sans CJK SC"/>
        <family val="2"/>
      </rPr>
      <t xml:space="preserve">그러나 광고모델이라 </t>
    </r>
    <r>
      <rPr>
        <sz val="9"/>
        <rFont val="Arial"/>
        <family val="0"/>
        <charset val="1"/>
      </rPr>
      <t xml:space="preserve">G</t>
    </r>
    <r>
      <rPr>
        <sz val="9"/>
        <rFont val="Noto Sans CJK SC"/>
        <family val="2"/>
      </rPr>
      <t xml:space="preserve">캡 </t>
    </r>
    <r>
      <rPr>
        <sz val="9"/>
        <rFont val="Arial"/>
        <family val="0"/>
        <charset val="1"/>
      </rPr>
      <t xml:space="preserve">40 </t>
    </r>
    <r>
      <rPr>
        <sz val="9"/>
        <rFont val="Noto Sans CJK SC"/>
        <family val="2"/>
      </rPr>
      <t xml:space="preserve">그대로</t>
    </r>
    <r>
      <rPr>
        <sz val="9"/>
        <rFont val="Arial"/>
        <family val="0"/>
        <charset val="1"/>
      </rPr>
      <t xml:space="preserve">. P: </t>
    </r>
    <r>
      <rPr>
        <sz val="9"/>
        <rFont val="Noto Sans CJK SC"/>
        <family val="2"/>
      </rPr>
      <t xml:space="preserve">지호가 해당 언어 품질 판단 어려움→검수 병목 재발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착시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경쟁 얇음</t>
    </r>
    <r>
      <rPr>
        <sz val="9"/>
        <rFont val="Arial"/>
        <family val="0"/>
        <charset val="1"/>
      </rPr>
      <t xml:space="preserve">=</t>
    </r>
    <r>
      <rPr>
        <sz val="9"/>
        <rFont val="Noto Sans CJK SC"/>
        <family val="2"/>
      </rPr>
      <t xml:space="preserve">수요 얇음</t>
    </r>
    <r>
      <rPr>
        <sz val="9"/>
        <rFont val="Arial"/>
        <family val="0"/>
        <charset val="1"/>
      </rPr>
      <t xml:space="preserve">) </t>
    </r>
    <r>
      <rPr>
        <sz val="9"/>
        <rFont val="Noto Sans CJK SC"/>
        <family val="2"/>
      </rPr>
      <t xml:space="preserve">검색량 실측 필수</t>
    </r>
  </si>
  <si>
    <t xml:space="preserve">영어 광고블로그 (영문 애드센스)</t>
  </si>
  <si>
    <r>
      <rPr>
        <sz val="9"/>
        <rFont val="Arial"/>
        <family val="0"/>
        <charset val="1"/>
      </rPr>
      <t xml:space="preserve">[1</t>
    </r>
    <r>
      <rPr>
        <sz val="9"/>
        <rFont val="Noto Sans CJK SC"/>
        <family val="2"/>
      </rPr>
      <t xml:space="preserve">차스크리닝</t>
    </r>
    <r>
      <rPr>
        <sz val="9"/>
        <rFont val="Arial"/>
        <family val="0"/>
        <charset val="1"/>
      </rPr>
      <t xml:space="preserve">±10] </t>
    </r>
    <r>
      <rPr>
        <sz val="9"/>
        <rFont val="Noto Sans CJK SC"/>
        <family val="2"/>
      </rPr>
      <t xml:space="preserve">국내 시니어블로그</t>
    </r>
    <r>
      <rPr>
        <sz val="9"/>
        <rFont val="Arial"/>
        <family val="0"/>
        <charset val="1"/>
      </rPr>
      <t xml:space="preserve">(50)</t>
    </r>
    <r>
      <rPr>
        <sz val="9"/>
        <rFont val="Noto Sans CJK SC"/>
        <family val="2"/>
      </rPr>
      <t xml:space="preserve">와 같은 모델을 영어로</t>
    </r>
    <r>
      <rPr>
        <sz val="9"/>
        <rFont val="Arial"/>
        <family val="0"/>
        <charset val="1"/>
      </rPr>
      <t xml:space="preserve">. M</t>
    </r>
    <r>
      <rPr>
        <sz val="9"/>
        <rFont val="Noto Sans CJK SC"/>
        <family val="2"/>
      </rPr>
      <t xml:space="preserve">은 오르나</t>
    </r>
    <r>
      <rPr>
        <sz val="9"/>
        <rFont val="Arial"/>
        <family val="0"/>
        <charset val="1"/>
      </rPr>
      <t xml:space="preserve">(RPM↑) </t>
    </r>
    <r>
      <rPr>
        <sz val="9"/>
        <rFont val="Noto Sans CJK SC"/>
        <family val="2"/>
      </rPr>
      <t xml:space="preserve">캡 만드는 </t>
    </r>
    <r>
      <rPr>
        <sz val="9"/>
        <rFont val="Arial"/>
        <family val="0"/>
        <charset val="1"/>
      </rPr>
      <t xml:space="preserve">G </t>
    </r>
    <r>
      <rPr>
        <sz val="9"/>
        <rFont val="Noto Sans CJK SC"/>
        <family val="2"/>
      </rPr>
      <t xml:space="preserve">안 움직이고 </t>
    </r>
    <r>
      <rPr>
        <sz val="9"/>
        <rFont val="Arial"/>
        <family val="0"/>
        <charset val="1"/>
      </rPr>
      <t xml:space="preserve">D·C </t>
    </r>
    <r>
      <rPr>
        <sz val="9"/>
        <rFont val="Noto Sans CJK SC"/>
        <family val="2"/>
      </rPr>
      <t xml:space="preserve">악화→최종 </t>
    </r>
    <r>
      <rPr>
        <sz val="9"/>
        <rFont val="Arial"/>
        <family val="0"/>
        <charset val="1"/>
      </rPr>
      <t xml:space="preserve">40, </t>
    </r>
    <r>
      <rPr>
        <sz val="9"/>
        <rFont val="Noto Sans CJK SC"/>
        <family val="2"/>
      </rPr>
      <t xml:space="preserve">국내보다 나쁨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확장 이유로 기각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문서 </t>
    </r>
    <r>
      <rPr>
        <sz val="9"/>
        <rFont val="Arial"/>
        <family val="0"/>
        <charset val="1"/>
      </rPr>
      <t xml:space="preserve">§2 </t>
    </r>
    <r>
      <rPr>
        <sz val="9"/>
        <rFont val="Noto Sans CJK SC"/>
        <family val="2"/>
      </rPr>
      <t xml:space="preserve">판정①</t>
    </r>
    <r>
      <rPr>
        <sz val="9"/>
        <rFont val="Arial"/>
        <family val="0"/>
        <charset val="1"/>
      </rPr>
      <t xml:space="preserve">)</t>
    </r>
  </si>
  <si>
    <t xml:space="preserve">글로벌 디지털상품 일반 (Gumroad/Paddle 영문)</t>
  </si>
  <si>
    <r>
      <rPr>
        <sz val="9"/>
        <rFont val="Arial"/>
        <family val="0"/>
        <charset val="1"/>
      </rPr>
      <t xml:space="preserve">[1</t>
    </r>
    <r>
      <rPr>
        <sz val="9"/>
        <rFont val="Noto Sans CJK SC"/>
        <family val="2"/>
      </rPr>
      <t xml:space="preserve">차스크리닝</t>
    </r>
    <r>
      <rPr>
        <sz val="9"/>
        <rFont val="Arial"/>
        <family val="0"/>
        <charset val="1"/>
      </rPr>
      <t xml:space="preserve">±10] MoR</t>
    </r>
    <r>
      <rPr>
        <sz val="9"/>
        <rFont val="Noto Sans CJK SC"/>
        <family val="2"/>
      </rPr>
      <t xml:space="preserve">로 글로벌 세금대행</t>
    </r>
    <r>
      <rPr>
        <sz val="9"/>
        <rFont val="Arial"/>
        <family val="0"/>
        <charset val="1"/>
      </rPr>
      <t xml:space="preserve">+</t>
    </r>
    <r>
      <rPr>
        <sz val="9"/>
        <rFont val="Noto Sans CJK SC"/>
        <family val="2"/>
      </rPr>
      <t xml:space="preserve">자체결제</t>
    </r>
    <r>
      <rPr>
        <sz val="9"/>
        <rFont val="Arial"/>
        <family val="0"/>
        <charset val="1"/>
      </rPr>
      <t xml:space="preserve">=G</t>
    </r>
    <r>
      <rPr>
        <sz val="9"/>
        <rFont val="Noto Sans CJK SC"/>
        <family val="2"/>
      </rPr>
      <t xml:space="preserve">캡 탈출</t>
    </r>
    <r>
      <rPr>
        <sz val="9"/>
        <rFont val="Arial"/>
        <family val="0"/>
        <charset val="1"/>
      </rPr>
      <t xml:space="preserve">(4.5). S5. </t>
    </r>
    <r>
      <rPr>
        <sz val="9"/>
        <rFont val="Noto Sans CJK SC"/>
        <family val="2"/>
      </rPr>
      <t xml:space="preserve">그러나 마켓 노출 없어 </t>
    </r>
    <r>
      <rPr>
        <sz val="9"/>
        <rFont val="Arial"/>
        <family val="0"/>
        <charset val="1"/>
      </rPr>
      <t xml:space="preserve">D(</t>
    </r>
    <r>
      <rPr>
        <sz val="9"/>
        <rFont val="Noto Sans CJK SC"/>
        <family val="2"/>
      </rPr>
      <t xml:space="preserve">콜드스타트</t>
    </r>
    <r>
      <rPr>
        <sz val="9"/>
        <rFont val="Arial"/>
        <family val="0"/>
        <charset val="1"/>
      </rPr>
      <t xml:space="preserve">) </t>
    </r>
    <r>
      <rPr>
        <sz val="9"/>
        <rFont val="Noto Sans CJK SC"/>
        <family val="2"/>
      </rPr>
      <t xml:space="preserve">병목</t>
    </r>
    <r>
      <rPr>
        <sz val="9"/>
        <rFont val="Arial"/>
        <family val="0"/>
        <charset val="1"/>
      </rPr>
      <t xml:space="preserve">. MoR</t>
    </r>
    <r>
      <rPr>
        <sz val="9"/>
        <rFont val="Noto Sans CJK SC"/>
        <family val="2"/>
      </rPr>
      <t xml:space="preserve">수수료 </t>
    </r>
    <r>
      <rPr>
        <sz val="9"/>
        <rFont val="Arial"/>
        <family val="0"/>
        <charset val="1"/>
      </rPr>
      <t xml:space="preserve">5~8%</t>
    </r>
    <r>
      <rPr>
        <sz val="9"/>
        <rFont val="Noto Sans CJK SC"/>
        <family val="2"/>
      </rPr>
      <t xml:space="preserve">가 저가상품 마진 잠식</t>
    </r>
  </si>
  <si>
    <t xml:space="preserve">글로벌 edtech 교육상품 (한국식 학습법·강사 edge, 영문)</t>
  </si>
  <si>
    <r>
      <rPr>
        <sz val="9"/>
        <rFont val="Arial"/>
        <family val="0"/>
        <charset val="1"/>
      </rPr>
      <t xml:space="preserve">[1</t>
    </r>
    <r>
      <rPr>
        <sz val="9"/>
        <rFont val="Noto Sans CJK SC"/>
        <family val="2"/>
      </rPr>
      <t xml:space="preserve">차스크리닝</t>
    </r>
    <r>
      <rPr>
        <sz val="9"/>
        <rFont val="Arial"/>
        <family val="0"/>
        <charset val="1"/>
      </rPr>
      <t xml:space="preserve">±10] </t>
    </r>
    <r>
      <rPr>
        <sz val="9"/>
        <rFont val="Noto Sans CJK SC"/>
        <family val="2"/>
      </rPr>
      <t xml:space="preserve">강사 </t>
    </r>
    <r>
      <rPr>
        <sz val="9"/>
        <rFont val="Arial"/>
        <family val="0"/>
        <charset val="1"/>
      </rPr>
      <t xml:space="preserve">E(7</t>
    </r>
    <r>
      <rPr>
        <sz val="9"/>
        <rFont val="Noto Sans CJK SC"/>
        <family val="2"/>
      </rPr>
      <t xml:space="preserve">년 교육경력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가 글로벌로 전이되는 유일 지점</t>
    </r>
    <r>
      <rPr>
        <sz val="9"/>
        <rFont val="Arial"/>
        <family val="0"/>
        <charset val="1"/>
      </rPr>
      <t xml:space="preserve">. G</t>
    </r>
    <r>
      <rPr>
        <sz val="9"/>
        <rFont val="Noto Sans CJK SC"/>
        <family val="2"/>
      </rPr>
      <t xml:space="preserve">탈출</t>
    </r>
    <r>
      <rPr>
        <sz val="9"/>
        <rFont val="Arial"/>
        <family val="0"/>
        <charset val="1"/>
      </rPr>
      <t xml:space="preserve">+E</t>
    </r>
    <r>
      <rPr>
        <sz val="9"/>
        <rFont val="Noto Sans CJK SC"/>
        <family val="2"/>
      </rPr>
      <t xml:space="preserve">전이 동시→유베이스 </t>
    </r>
    <r>
      <rPr>
        <sz val="9"/>
        <rFont val="Arial"/>
        <family val="0"/>
        <charset val="1"/>
      </rPr>
      <t xml:space="preserve">74.5, </t>
    </r>
    <r>
      <rPr>
        <sz val="9"/>
        <rFont val="Noto Sans CJK SC"/>
        <family val="2"/>
      </rPr>
      <t xml:space="preserve">전체 표 </t>
    </r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위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유일 약점은 </t>
    </r>
    <r>
      <rPr>
        <sz val="9"/>
        <rFont val="Arial"/>
        <family val="0"/>
        <charset val="1"/>
      </rPr>
      <t xml:space="preserve">D(</t>
    </r>
    <r>
      <rPr>
        <sz val="9"/>
        <rFont val="Noto Sans CJK SC"/>
        <family val="2"/>
      </rPr>
      <t xml:space="preserve">글로벌 콜드스타트</t>
    </r>
    <r>
      <rPr>
        <sz val="9"/>
        <rFont val="Arial"/>
        <family val="0"/>
        <charset val="1"/>
      </rPr>
      <t xml:space="preserve">)→</t>
    </r>
    <r>
      <rPr>
        <sz val="9"/>
        <rFont val="Noto Sans CJK SC"/>
        <family val="2"/>
      </rPr>
      <t xml:space="preserve">문서 </t>
    </r>
    <r>
      <rPr>
        <sz val="9"/>
        <rFont val="Arial"/>
        <family val="0"/>
        <charset val="1"/>
      </rPr>
      <t xml:space="preserve">§5 </t>
    </r>
    <r>
      <rPr>
        <sz val="9"/>
        <rFont val="Noto Sans CJK SC"/>
        <family val="2"/>
      </rPr>
      <t xml:space="preserve">트랙</t>
    </r>
    <r>
      <rPr>
        <sz val="9"/>
        <rFont val="Arial"/>
        <family val="0"/>
        <charset val="1"/>
      </rPr>
      <t xml:space="preserve">2 </t>
    </r>
    <r>
      <rPr>
        <sz val="9"/>
        <rFont val="Noto Sans CJK SC"/>
        <family val="2"/>
      </rPr>
      <t xml:space="preserve">파일럿으로 </t>
    </r>
    <r>
      <rPr>
        <sz val="9"/>
        <rFont val="Arial"/>
        <family val="0"/>
        <charset val="1"/>
      </rPr>
      <t xml:space="preserve">CVR </t>
    </r>
    <r>
      <rPr>
        <sz val="9"/>
        <rFont val="Noto Sans CJK SC"/>
        <family val="2"/>
      </rPr>
      <t xml:space="preserve">검증 </t>
    </r>
    <r>
      <rPr>
        <sz val="9"/>
        <rFont val="Arial"/>
        <family val="0"/>
        <charset val="1"/>
      </rPr>
      <t xml:space="preserve">[v2.1] R=3(</t>
    </r>
    <r>
      <rPr>
        <sz val="9"/>
        <rFont val="Noto Sans CJK SC"/>
        <family val="2"/>
      </rPr>
      <t xml:space="preserve">자체결제</t>
    </r>
    <r>
      <rPr>
        <sz val="9"/>
        <rFont val="Arial"/>
        <family val="0"/>
        <charset val="1"/>
      </rPr>
      <t xml:space="preserve">+</t>
    </r>
    <r>
      <rPr>
        <sz val="9"/>
        <rFont val="Noto Sans CJK SC"/>
        <family val="2"/>
      </rPr>
      <t xml:space="preserve">이메일 리스트 전제</t>
    </r>
    <r>
      <rPr>
        <sz val="9"/>
        <rFont val="Arial"/>
        <family val="0"/>
        <charset val="1"/>
      </rPr>
      <t xml:space="preserve">). </t>
    </r>
    <r>
      <rPr>
        <sz val="9"/>
        <rFont val="Noto Sans CJK SC"/>
        <family val="2"/>
      </rPr>
      <t xml:space="preserve">커뮤니티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코호트 레이어 추가 시 </t>
    </r>
    <r>
      <rPr>
        <sz val="9"/>
        <rFont val="Arial"/>
        <family val="0"/>
        <charset val="1"/>
      </rPr>
      <t xml:space="preserve">R=4 → 78.0. Skool </t>
    </r>
    <r>
      <rPr>
        <sz val="9"/>
        <rFont val="Noto Sans CJK SC"/>
        <family val="2"/>
      </rPr>
      <t xml:space="preserve">데이터</t>
    </r>
    <r>
      <rPr>
        <sz val="9"/>
        <rFont val="Arial"/>
        <family val="0"/>
        <charset val="1"/>
      </rPr>
      <t xml:space="preserve">: </t>
    </r>
    <r>
      <rPr>
        <sz val="9"/>
        <rFont val="Noto Sans CJK SC"/>
        <family val="2"/>
      </rPr>
      <t xml:space="preserve">첫 </t>
    </r>
    <r>
      <rPr>
        <sz val="9"/>
        <rFont val="Arial"/>
        <family val="0"/>
        <charset val="1"/>
      </rPr>
      <t xml:space="preserve">30</t>
    </r>
    <r>
      <rPr>
        <sz val="9"/>
        <rFont val="Noto Sans CJK SC"/>
        <family val="2"/>
      </rPr>
      <t xml:space="preserve">일 온보딩 최전선</t>
    </r>
    <r>
      <rPr>
        <sz val="9"/>
        <rFont val="Arial"/>
        <family val="0"/>
        <charset val="1"/>
      </rPr>
      <t xml:space="preserve">+6</t>
    </r>
    <r>
      <rPr>
        <sz val="9"/>
        <rFont val="Noto Sans CJK SC"/>
        <family val="2"/>
      </rPr>
      <t xml:space="preserve">개월 마일스톤</t>
    </r>
    <r>
      <rPr>
        <sz val="9"/>
        <rFont val="Arial"/>
        <family val="0"/>
        <charset val="1"/>
      </rPr>
      <t xml:space="preserve">(6</t>
    </r>
    <r>
      <rPr>
        <sz val="9"/>
        <rFont val="Noto Sans CJK SC"/>
        <family val="2"/>
      </rPr>
      <t xml:space="preserve">개월 생존 시 월이탈 </t>
    </r>
    <r>
      <rPr>
        <sz val="9"/>
        <rFont val="Arial"/>
        <family val="0"/>
        <charset val="1"/>
      </rPr>
      <t xml:space="preserve">2%).</t>
    </r>
  </si>
  <si>
    <t xml:space="preserve">가중치 (이 셀들을 바꾸면 채점표 점수가 자동 재계산됨) — v2.1(2026-07-22): R축 신설, 근거는 홀모지_5조건_대조검토.md</t>
  </si>
  <si>
    <t xml:space="preserve">합계(=100%)</t>
  </si>
  <si>
    <t xml:space="preserve">노베이스 가중치</t>
  </si>
  <si>
    <t xml:space="preserve">유베이스 가중치</t>
  </si>
  <si>
    <t xml:space="preserve">지표 설명</t>
  </si>
  <si>
    <r>
      <rPr>
        <sz val="11"/>
        <rFont val="Arial"/>
        <family val="0"/>
        <charset val="1"/>
      </rPr>
      <t xml:space="preserve">A </t>
    </r>
    <r>
      <rPr>
        <sz val="11"/>
        <rFont val="Noto Sans CJK SC"/>
        <family val="2"/>
      </rPr>
      <t xml:space="preserve">자동화 실행도</t>
    </r>
  </si>
  <si>
    <r>
      <rPr>
        <sz val="11"/>
        <rFont val="Arial"/>
        <family val="0"/>
        <charset val="1"/>
      </rPr>
      <t xml:space="preserve">I </t>
    </r>
    <r>
      <rPr>
        <sz val="11"/>
        <rFont val="Noto Sans CJK SC"/>
        <family val="2"/>
      </rPr>
      <t xml:space="preserve">기획 자동화</t>
    </r>
  </si>
  <si>
    <r>
      <rPr>
        <sz val="11"/>
        <rFont val="Arial"/>
        <family val="0"/>
        <charset val="1"/>
      </rPr>
      <t xml:space="preserve">P </t>
    </r>
    <r>
      <rPr>
        <sz val="11"/>
        <rFont val="Noto Sans CJK SC"/>
        <family val="2"/>
      </rPr>
      <t xml:space="preserve">후처리 용이성</t>
    </r>
  </si>
  <si>
    <r>
      <rPr>
        <sz val="11"/>
        <rFont val="Arial"/>
        <family val="0"/>
        <charset val="1"/>
      </rPr>
      <t xml:space="preserve">Q </t>
    </r>
    <r>
      <rPr>
        <sz val="11"/>
        <rFont val="Noto Sans CJK SC"/>
        <family val="2"/>
      </rPr>
      <t xml:space="preserve">품질 관대성</t>
    </r>
  </si>
  <si>
    <r>
      <rPr>
        <sz val="11"/>
        <rFont val="Arial"/>
        <family val="0"/>
        <charset val="1"/>
      </rPr>
      <t xml:space="preserve">S </t>
    </r>
    <r>
      <rPr>
        <sz val="11"/>
        <rFont val="Noto Sans CJK SC"/>
        <family val="2"/>
      </rPr>
      <t xml:space="preserve">확장성</t>
    </r>
  </si>
  <si>
    <r>
      <rPr>
        <sz val="11"/>
        <rFont val="Arial"/>
        <family val="0"/>
        <charset val="1"/>
      </rPr>
      <t xml:space="preserve">M </t>
    </r>
    <r>
      <rPr>
        <sz val="11"/>
        <rFont val="Noto Sans CJK SC"/>
        <family val="2"/>
      </rPr>
      <t xml:space="preserve">마진율</t>
    </r>
  </si>
  <si>
    <r>
      <rPr>
        <sz val="11"/>
        <rFont val="Arial"/>
        <family val="0"/>
        <charset val="1"/>
      </rPr>
      <t xml:space="preserve">D </t>
    </r>
    <r>
      <rPr>
        <sz val="11"/>
        <rFont val="Noto Sans CJK SC"/>
        <family val="2"/>
      </rPr>
      <t xml:space="preserve">수요 획득</t>
    </r>
  </si>
  <si>
    <r>
      <rPr>
        <sz val="11"/>
        <color theme="1"/>
        <rFont val="Calibri"/>
        <family val="2"/>
        <charset val="1"/>
      </rPr>
      <t xml:space="preserve">R </t>
    </r>
    <r>
      <rPr>
        <sz val="11"/>
        <color theme="1"/>
        <rFont val="Noto Sans CJK SC"/>
        <family val="2"/>
      </rPr>
      <t xml:space="preserve">매출 유지율 </t>
    </r>
    <r>
      <rPr>
        <sz val="11"/>
        <color theme="1"/>
        <rFont val="Calibri"/>
        <family val="2"/>
        <charset val="1"/>
      </rPr>
      <t xml:space="preserve">(v2.1 </t>
    </r>
    <r>
      <rPr>
        <sz val="11"/>
        <color theme="1"/>
        <rFont val="Noto Sans CJK SC"/>
        <family val="2"/>
      </rPr>
      <t xml:space="preserve">신설</t>
    </r>
    <r>
      <rPr>
        <sz val="11"/>
        <color theme="1"/>
        <rFont val="Calibri"/>
        <family val="2"/>
        <charset val="1"/>
      </rPr>
      <t xml:space="preserve">): 1=</t>
    </r>
    <r>
      <rPr>
        <sz val="11"/>
        <color theme="1"/>
        <rFont val="Noto Sans CJK SC"/>
        <family val="2"/>
      </rPr>
      <t xml:space="preserve">전량 일회성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방문자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고객이 자산으로 안 남음</t>
    </r>
    <r>
      <rPr>
        <sz val="11"/>
        <color theme="1"/>
        <rFont val="Calibri"/>
        <family val="2"/>
        <charset val="1"/>
      </rPr>
      <t xml:space="preserve">) / 3=</t>
    </r>
    <r>
      <rPr>
        <sz val="11"/>
        <color theme="1"/>
        <rFont val="Noto Sans CJK SC"/>
        <family val="2"/>
      </rPr>
      <t xml:space="preserve">재구매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업셀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고객 리스트 누적 </t>
    </r>
    <r>
      <rPr>
        <sz val="11"/>
        <color theme="1"/>
        <rFont val="Calibri"/>
        <family val="2"/>
        <charset val="1"/>
      </rPr>
      <t xml:space="preserve">/ 5=</t>
    </r>
    <r>
      <rPr>
        <sz val="11"/>
        <color theme="1"/>
        <rFont val="Noto Sans CJK SC"/>
        <family val="2"/>
      </rPr>
      <t xml:space="preserve">구독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멤버십으로 매출 자동 누적</t>
    </r>
  </si>
  <si>
    <r>
      <rPr>
        <sz val="11"/>
        <rFont val="Arial"/>
        <family val="0"/>
        <charset val="1"/>
      </rPr>
      <t xml:space="preserve">C </t>
    </r>
    <r>
      <rPr>
        <sz val="11"/>
        <rFont val="Noto Sans CJK SC"/>
        <family val="2"/>
      </rPr>
      <t xml:space="preserve">경쟁 반감기</t>
    </r>
  </si>
  <si>
    <r>
      <rPr>
        <sz val="11"/>
        <rFont val="Arial"/>
        <family val="0"/>
        <charset val="1"/>
      </rPr>
      <t xml:space="preserve">G </t>
    </r>
    <r>
      <rPr>
        <sz val="11"/>
        <rFont val="Noto Sans CJK SC"/>
        <family val="2"/>
      </rPr>
      <t xml:space="preserve">플랫폼 생존성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게이트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</si>
  <si>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E </t>
    </r>
    <r>
      <rPr>
        <sz val="11"/>
        <rFont val="Noto Sans CJK SC"/>
        <family val="2"/>
      </rPr>
      <t xml:space="preserve">전문성 레버리지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강사</t>
    </r>
    <r>
      <rPr>
        <sz val="11"/>
        <rFont val="Arial"/>
        <family val="0"/>
        <charset val="1"/>
      </rPr>
      <t xml:space="preserve">)</t>
    </r>
  </si>
  <si>
    <t xml:space="preserve">게이트 규칙: 최종점수 = MIN(원점수, G×20). 플랫폼 생존성이 사업의 상한.</t>
  </si>
  <si>
    <t xml:space="preserve">해석: 80+ 즉시 착수 / 60~79 조건부 착수 / 40~59 보조도구 수준 / 40 미만 회피</t>
  </si>
  <si>
    <r>
      <rPr>
        <sz val="10"/>
        <rFont val="Arial"/>
        <family val="0"/>
        <charset val="1"/>
      </rPr>
      <t xml:space="preserve">E(</t>
    </r>
    <r>
      <rPr>
        <sz val="10"/>
        <rFont val="Noto Sans CJK SC"/>
        <family val="2"/>
      </rPr>
      <t xml:space="preserve">전문성 레버리지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강사 경험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보유자 기준으로 채점됨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다른 사람은 </t>
    </r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열을 다시 채점할 것</t>
    </r>
    <r>
      <rPr>
        <sz val="10"/>
        <rFont val="Arial"/>
        <family val="0"/>
        <charset val="1"/>
      </rPr>
      <t xml:space="preserve">.</t>
    </r>
  </si>
  <si>
    <t xml:space="preserve">신뢰도: [검증완료] 표시 행 = 딥리서치 증거 기반 채점. 나머지 = 1차 스크리닝(오차 ±10점).</t>
  </si>
  <si>
    <t xml:space="preserve">상위 후보만 딥리서치(축별 증거 수집)로 정밀 검증 후 착수 판단할 것.</t>
  </si>
  <si>
    <t xml:space="preserve">검증 완료(2026-07 딥리서치): 전자책 72.5 · 강의 상품화 71 · 유튜브 교육 71 · 멤버십 65.5 · AI 특강 62 · 뉴스레터 60(G캡)</t>
  </si>
  <si>
    <r>
      <rPr>
        <sz val="11"/>
        <color theme="1"/>
        <rFont val="Calibri"/>
        <family val="2"/>
        <charset val="1"/>
      </rPr>
      <t xml:space="preserve">v2.1 </t>
    </r>
    <r>
      <rPr>
        <sz val="11"/>
        <color theme="1"/>
        <rFont val="Noto Sans CJK SC"/>
        <family val="2"/>
      </rPr>
      <t xml:space="preserve">참고</t>
    </r>
    <r>
      <rPr>
        <sz val="11"/>
        <color theme="1"/>
        <rFont val="Calibri"/>
        <family val="2"/>
        <charset val="1"/>
      </rPr>
      <t xml:space="preserve">: D </t>
    </r>
    <r>
      <rPr>
        <sz val="11"/>
        <color theme="1"/>
        <rFont val="Noto Sans CJK SC"/>
        <family val="2"/>
      </rPr>
      <t xml:space="preserve">채점 시 순풍 보정 적용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시장 연 </t>
    </r>
    <r>
      <rPr>
        <sz val="11"/>
        <color theme="1"/>
        <rFont val="Calibri"/>
        <family val="2"/>
        <charset val="1"/>
      </rPr>
      <t xml:space="preserve">10%+ </t>
    </r>
    <r>
      <rPr>
        <sz val="11"/>
        <color theme="1"/>
        <rFont val="Noto Sans CJK SC"/>
        <family val="2"/>
      </rPr>
      <t xml:space="preserve">성장 </t>
    </r>
    <r>
      <rPr>
        <sz val="11"/>
        <color theme="1"/>
        <rFont val="Calibri"/>
        <family val="2"/>
        <charset val="1"/>
      </rPr>
      <t xml:space="preserve">D +0.5~1, </t>
    </r>
    <r>
      <rPr>
        <sz val="11"/>
        <color theme="1"/>
        <rFont val="Noto Sans CJK SC"/>
        <family val="2"/>
      </rPr>
      <t xml:space="preserve">축소장 </t>
    </r>
    <r>
      <rPr>
        <sz val="11"/>
        <color theme="1"/>
        <rFont val="Calibri"/>
        <family val="2"/>
        <charset val="1"/>
      </rPr>
      <t xml:space="preserve">-1). R</t>
    </r>
    <r>
      <rPr>
        <sz val="11"/>
        <color theme="1"/>
        <rFont val="Noto Sans CJK SC"/>
        <family val="2"/>
      </rPr>
      <t xml:space="preserve">은 게이트 아님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가중치만</t>
    </r>
    <r>
      <rPr>
        <sz val="11"/>
        <color theme="1"/>
        <rFont val="Calibri"/>
        <family val="2"/>
        <charset val="1"/>
      </rPr>
      <t xml:space="preserve">).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</si>
</sst>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Arial"/>
      <family val="0"/>
      <charset val="1"/>
    </font>
    <font>
      <sz val="10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Noto Sans CJK SC"/>
      <family val="2"/>
      <charset val="1"/>
    </font>
    <font>
      <sz val="9"/>
      <name val="Arial"/>
      <family val="0"/>
      <charset val="1"/>
    </font>
    <font>
      <sz val="9"/>
      <name val="Noto Sans CJK SC"/>
      <family val="2"/>
    </font>
    <font>
      <b val="true"/>
      <sz val="10"/>
      <name val="Noto Sans CJK SC"/>
      <family val="2"/>
    </font>
    <font>
      <b val="true"/>
      <sz val="12"/>
      <name val="Noto Sans CJK SC"/>
      <family val="2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Noto Sans CJK SC"/>
      <family val="2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sz val="11"/>
      <color theme="1"/>
      <name val="Noto Sans CJK SC"/>
      <family val="2"/>
    </font>
    <font>
      <sz val="1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8ACA7E"/>
          <bgColor rgb="FF000000"/>
        </patternFill>
      </fill>
    </dxf>
    <dxf>
      <fill>
        <patternFill patternType="solid">
          <fgColor rgb="FFB1D580"/>
          <bgColor rgb="FF000000"/>
        </patternFill>
      </fill>
    </dxf>
    <dxf>
      <fill>
        <patternFill patternType="solid">
          <fgColor rgb="FFD8E082"/>
          <bgColor rgb="FF000000"/>
        </patternFill>
      </fill>
    </dxf>
    <dxf>
      <fill>
        <patternFill patternType="solid">
          <fgColor rgb="FFFBAA77"/>
          <bgColor rgb="FF000000"/>
        </patternFill>
      </fill>
    </dxf>
    <dxf>
      <fill>
        <patternFill patternType="solid">
          <fgColor rgb="FFFDCA7D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F98971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86C87D"/>
          <bgColor rgb="FF000000"/>
        </patternFill>
      </fill>
    </dxf>
    <dxf>
      <fill>
        <patternFill patternType="solid">
          <fgColor rgb="FF99CE7F"/>
          <bgColor rgb="FF000000"/>
        </patternFill>
      </fill>
    </dxf>
    <dxf>
      <fill>
        <patternFill patternType="solid">
          <fgColor rgb="FFA2D07F"/>
          <bgColor rgb="FF000000"/>
        </patternFill>
      </fill>
    </dxf>
    <dxf>
      <fill>
        <patternFill patternType="solid">
          <fgColor rgb="FFABD380"/>
          <bgColor rgb="FF000000"/>
        </patternFill>
      </fill>
    </dxf>
    <dxf>
      <fill>
        <patternFill patternType="solid">
          <fgColor rgb="FFADD480"/>
          <bgColor rgb="FF000000"/>
        </patternFill>
      </fill>
    </dxf>
    <dxf>
      <fill>
        <patternFill patternType="solid">
          <fgColor rgb="FFB0D580"/>
          <bgColor rgb="FF000000"/>
        </patternFill>
      </fill>
    </dxf>
    <dxf>
      <fill>
        <patternFill patternType="solid">
          <fgColor rgb="FFB5D680"/>
          <bgColor rgb="FF000000"/>
        </patternFill>
      </fill>
    </dxf>
    <dxf>
      <fill>
        <patternFill patternType="solid">
          <fgColor rgb="FFC7DB81"/>
          <bgColor rgb="FF000000"/>
        </patternFill>
      </fill>
    </dxf>
    <dxf>
      <fill>
        <patternFill patternType="solid">
          <fgColor rgb="FFCCDD82"/>
          <bgColor rgb="FF000000"/>
        </patternFill>
      </fill>
    </dxf>
    <dxf>
      <fill>
        <patternFill patternType="solid">
          <fgColor rgb="FFD1DE82"/>
          <bgColor rgb="FF000000"/>
        </patternFill>
      </fill>
    </dxf>
    <dxf>
      <fill>
        <patternFill patternType="solid">
          <fgColor rgb="FFD7E082"/>
          <bgColor rgb="FF000000"/>
        </patternFill>
      </fill>
    </dxf>
    <dxf>
      <fill>
        <patternFill patternType="solid">
          <fgColor rgb="FFDAE182"/>
          <bgColor rgb="FF000000"/>
        </patternFill>
      </fill>
    </dxf>
    <dxf>
      <fill>
        <patternFill patternType="solid">
          <fgColor rgb="FFEAE583"/>
          <bgColor rgb="FF000000"/>
        </patternFill>
      </fill>
    </dxf>
    <dxf>
      <fill>
        <patternFill patternType="solid">
          <fgColor rgb="FFEDE683"/>
          <bgColor rgb="FF000000"/>
        </patternFill>
      </fill>
    </dxf>
    <dxf>
      <fill>
        <patternFill patternType="solid">
          <fgColor rgb="FFF0E784"/>
          <bgColor rgb="FF000000"/>
        </patternFill>
      </fill>
    </dxf>
    <dxf>
      <fill>
        <patternFill patternType="solid">
          <fgColor rgb="FFF5E884"/>
          <bgColor rgb="FF000000"/>
        </patternFill>
      </fill>
    </dxf>
    <dxf>
      <fill>
        <patternFill patternType="solid">
          <fgColor rgb="FFF6E984"/>
          <bgColor rgb="FF000000"/>
        </patternFill>
      </fill>
    </dxf>
    <dxf>
      <fill>
        <patternFill patternType="solid">
          <fgColor rgb="FFF8E984"/>
          <bgColor rgb="FF000000"/>
        </patternFill>
      </fill>
    </dxf>
    <dxf>
      <fill>
        <patternFill patternType="solid">
          <fgColor rgb="FFFBEA84"/>
          <bgColor rgb="FF000000"/>
        </patternFill>
      </fill>
    </dxf>
    <dxf>
      <fill>
        <patternFill patternType="solid">
          <fgColor rgb="FFFCB77A"/>
          <bgColor rgb="FF000000"/>
        </patternFill>
      </fill>
    </dxf>
    <dxf>
      <fill>
        <patternFill patternType="solid">
          <fgColor rgb="FFFCC17C"/>
          <bgColor rgb="FF000000"/>
        </patternFill>
      </fill>
    </dxf>
    <dxf>
      <fill>
        <patternFill patternType="solid">
          <fgColor rgb="FFFDC77D"/>
          <bgColor rgb="FF000000"/>
        </patternFill>
      </fill>
    </dxf>
    <dxf>
      <fill>
        <patternFill patternType="solid">
          <fgColor rgb="FFFDD27F"/>
          <bgColor rgb="FF000000"/>
        </patternFill>
      </fill>
    </dxf>
    <dxf>
      <fill>
        <patternFill patternType="solid">
          <fgColor rgb="FFFEDC81"/>
          <bgColor rgb="FF000000"/>
        </patternFill>
      </fill>
    </dxf>
    <dxf>
      <fill>
        <patternFill patternType="solid">
          <fgColor rgb="FFFEDE81"/>
          <bgColor rgb="FF000000"/>
        </patternFill>
      </fill>
    </dxf>
    <dxf>
      <fill>
        <patternFill patternType="solid">
          <fgColor rgb="FFFEDF81"/>
          <bgColor rgb="FF000000"/>
        </patternFill>
      </fill>
    </dxf>
    <dxf>
      <fill>
        <patternFill patternType="solid">
          <fgColor rgb="FFFEE582"/>
          <bgColor rgb="FF000000"/>
        </patternFill>
      </fill>
    </dxf>
    <dxf>
      <fill>
        <patternFill patternType="solid">
          <fgColor rgb="FFFEE883"/>
          <bgColor rgb="FF000000"/>
        </patternFill>
      </fill>
    </dxf>
    <dxf>
      <fill>
        <patternFill patternType="solid">
          <fgColor rgb="FF8ECB7E"/>
          <bgColor rgb="FF000000"/>
        </patternFill>
      </fill>
    </dxf>
    <dxf>
      <fill>
        <patternFill patternType="solid">
          <fgColor rgb="FF91CC7E"/>
          <bgColor rgb="FF000000"/>
        </patternFill>
      </fill>
    </dxf>
    <dxf>
      <fill>
        <patternFill patternType="solid">
          <fgColor rgb="FF95CD7E"/>
          <bgColor rgb="FF000000"/>
        </patternFill>
      </fill>
    </dxf>
    <dxf>
      <fill>
        <patternFill patternType="solid">
          <fgColor rgb="FF9CCF7F"/>
          <bgColor rgb="FF000000"/>
        </patternFill>
      </fill>
    </dxf>
    <dxf>
      <fill>
        <patternFill patternType="solid">
          <fgColor rgb="FF9FD07F"/>
          <bgColor rgb="FF000000"/>
        </patternFill>
      </fill>
    </dxf>
    <dxf>
      <fill>
        <patternFill patternType="solid">
          <fgColor rgb="FFBED981"/>
          <bgColor rgb="FF000000"/>
        </patternFill>
      </fill>
    </dxf>
    <dxf>
      <fill>
        <patternFill patternType="solid">
          <fgColor rgb="FFC4DA81"/>
          <bgColor rgb="FF000000"/>
        </patternFill>
      </fill>
    </dxf>
    <dxf>
      <fill>
        <patternFill patternType="solid">
          <fgColor rgb="FFCADC81"/>
          <bgColor rgb="FF000000"/>
        </patternFill>
      </fill>
    </dxf>
    <dxf>
      <fill>
        <patternFill patternType="solid">
          <fgColor rgb="FFCFDE82"/>
          <bgColor rgb="FF000000"/>
        </patternFill>
      </fill>
    </dxf>
    <dxf>
      <fill>
        <patternFill patternType="solid">
          <fgColor rgb="FFD2DE82"/>
          <bgColor rgb="FF000000"/>
        </patternFill>
      </fill>
    </dxf>
    <dxf>
      <fill>
        <patternFill patternType="solid">
          <fgColor rgb="FFD5DF82"/>
          <bgColor rgb="FF000000"/>
        </patternFill>
      </fill>
    </dxf>
    <dxf>
      <fill>
        <patternFill patternType="solid">
          <fgColor rgb="FFDCE182"/>
          <bgColor rgb="FF000000"/>
        </patternFill>
      </fill>
    </dxf>
    <dxf>
      <fill>
        <patternFill patternType="solid">
          <fgColor rgb="FFF1E784"/>
          <bgColor rgb="FF000000"/>
        </patternFill>
      </fill>
    </dxf>
    <dxf>
      <fill>
        <patternFill patternType="solid">
          <fgColor rgb="FFF3E884"/>
          <bgColor rgb="FF000000"/>
        </patternFill>
      </fill>
    </dxf>
    <dxf>
      <fill>
        <patternFill patternType="solid">
          <fgColor rgb="FFFBAF78"/>
          <bgColor rgb="FF000000"/>
        </patternFill>
      </fill>
    </dxf>
    <dxf>
      <fill>
        <patternFill patternType="solid">
          <fgColor rgb="FFFCB479"/>
          <bgColor rgb="FF000000"/>
        </patternFill>
      </fill>
    </dxf>
    <dxf>
      <fill>
        <patternFill patternType="solid">
          <fgColor rgb="FFFCC57C"/>
          <bgColor rgb="FF000000"/>
        </patternFill>
      </fill>
    </dxf>
    <dxf>
      <fill>
        <patternFill patternType="solid">
          <fgColor rgb="FFFDCD7E"/>
          <bgColor rgb="FF000000"/>
        </patternFill>
      </fill>
    </dxf>
    <dxf>
      <fill>
        <patternFill patternType="solid">
          <fgColor rgb="FFFDCE7E"/>
          <bgColor rgb="FF000000"/>
        </patternFill>
      </fill>
    </dxf>
    <dxf>
      <fill>
        <patternFill patternType="solid">
          <fgColor rgb="FFFDD17F"/>
          <bgColor rgb="FF000000"/>
        </patternFill>
      </fill>
    </dxf>
    <dxf>
      <fill>
        <patternFill patternType="solid">
          <fgColor rgb="FFFDD680"/>
          <bgColor rgb="FF000000"/>
        </patternFill>
      </fill>
    </dxf>
    <dxf>
      <fill>
        <patternFill patternType="solid">
          <fgColor rgb="FFFEDA80"/>
          <bgColor rgb="FF000000"/>
        </patternFill>
      </fill>
    </dxf>
    <dxf>
      <fill>
        <patternFill patternType="solid">
          <fgColor rgb="FFFEE082"/>
          <bgColor rgb="FF000000"/>
        </patternFill>
      </fill>
    </dxf>
    <dxf>
      <fill>
        <patternFill patternType="solid">
          <fgColor rgb="FFFEE382"/>
          <bgColor rgb="FF000000"/>
        </patternFill>
      </fill>
    </dxf>
    <dxf>
      <fill>
        <patternFill patternType="solid">
          <fgColor rgb="FFFEE482"/>
          <bgColor rgb="FF000000"/>
        </patternFill>
      </fill>
    </dxf>
    <dxf>
      <fill>
        <patternFill patternType="solid">
          <fgColor rgb="FFFEE583"/>
          <bgColor rgb="FF000000"/>
        </patternFill>
      </fill>
    </dxf>
    <dxf>
      <fill>
        <patternFill patternType="solid">
          <fgColor rgb="FFFEE98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30"/>
    <col collapsed="false" customWidth="true" hidden="false" outlineLevel="0" max="12" min="3" style="1" width="5.52"/>
    <col collapsed="false" customWidth="true" hidden="false" outlineLevel="0" max="16" min="13" style="1" width="8.5"/>
    <col collapsed="false" customWidth="true" hidden="false" outlineLevel="0" max="18" min="17" style="1" width="10"/>
    <col collapsed="false" customWidth="true" hidden="false" outlineLevel="0" max="19" min="19" style="1" width="7"/>
    <col collapsed="false" customWidth="true" hidden="false" outlineLevel="0" max="20" min="20" style="1" width="52"/>
  </cols>
  <sheetData>
    <row r="1" customFormat="false" ht="42" hidden="false" customHeight="tru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2" t="s">
        <v>20</v>
      </c>
    </row>
    <row r="2" customFormat="false" ht="15" hidden="false" customHeight="true" outlineLevel="0" collapsed="false">
      <c r="A2" s="4" t="s">
        <v>21</v>
      </c>
      <c r="B2" s="5" t="s">
        <v>22</v>
      </c>
      <c r="C2" s="6" t="n">
        <v>3</v>
      </c>
      <c r="D2" s="6" t="n">
        <v>2.5</v>
      </c>
      <c r="E2" s="6" t="n">
        <v>2</v>
      </c>
      <c r="F2" s="6" t="n">
        <v>2</v>
      </c>
      <c r="G2" s="6" t="n">
        <v>4.5</v>
      </c>
      <c r="H2" s="6" t="n">
        <v>4</v>
      </c>
      <c r="I2" s="6" t="n">
        <v>3</v>
      </c>
      <c r="J2" s="6" t="n">
        <v>2.5</v>
      </c>
      <c r="K2" s="6" t="n">
        <v>3</v>
      </c>
      <c r="L2" s="6" t="n">
        <v>4</v>
      </c>
      <c r="M2" s="6" t="n">
        <v>5</v>
      </c>
      <c r="N2" s="6" t="n">
        <f aca="false">SUMPRODUCT(기준!$B$3:$L$3,C2:M2)*20</f>
        <v>55.75</v>
      </c>
      <c r="O2" s="7" t="n">
        <f aca="false">MIN(N2,L2*20)</f>
        <v>55.75</v>
      </c>
      <c r="P2" s="6" t="n">
        <f aca="false">SUMPRODUCT(기준!$B$4:$L$4,C2:M2)*20</f>
        <v>72.75</v>
      </c>
      <c r="Q2" s="7" t="n">
        <f aca="false">MIN(P2,L2*20)</f>
        <v>72.75</v>
      </c>
      <c r="R2" s="8" t="str">
        <f aca="false">IF(O2&gt;=80,"즉시 착수",IF(O2&gt;=60,"조건부 착수",IF(O2&gt;=40,"보조도구","회피")))</f>
        <v>보조도구</v>
      </c>
      <c r="S2" s="8" t="str">
        <f aca="false">IF(Q2&gt;=80,"즉시 착수",IF(Q2&gt;=60,"조건부 착수",IF(Q2&gt;=40,"보조도구","회피")))</f>
        <v>조건부 착수</v>
      </c>
      <c r="T2" s="8" t="str">
        <f aca="false">IF(COUNTIF(C2:M2,1)&gt;0,"⚠1점축","")</f>
        <v/>
      </c>
      <c r="U2" s="9" t="s">
        <v>23</v>
      </c>
    </row>
    <row r="3" customFormat="false" ht="15" hidden="false" customHeight="true" outlineLevel="0" collapsed="false">
      <c r="A3" s="4" t="s">
        <v>24</v>
      </c>
      <c r="B3" s="5" t="s">
        <v>25</v>
      </c>
      <c r="C3" s="6" t="n">
        <v>2</v>
      </c>
      <c r="D3" s="6" t="n">
        <v>2</v>
      </c>
      <c r="E3" s="6" t="n">
        <v>2</v>
      </c>
      <c r="F3" s="6" t="n">
        <v>2</v>
      </c>
      <c r="G3" s="6" t="n">
        <v>4.5</v>
      </c>
      <c r="H3" s="6" t="n">
        <v>4</v>
      </c>
      <c r="I3" s="6" t="n">
        <v>3</v>
      </c>
      <c r="J3" s="6" t="n">
        <v>2.5</v>
      </c>
      <c r="K3" s="6" t="n">
        <v>3.5</v>
      </c>
      <c r="L3" s="6" t="n">
        <v>4</v>
      </c>
      <c r="M3" s="6" t="n">
        <v>5</v>
      </c>
      <c r="N3" s="6" t="n">
        <f aca="false">SUMPRODUCT(기준!$B$3:$L$3,C3:M3)*20</f>
        <v>52.75</v>
      </c>
      <c r="O3" s="7" t="n">
        <f aca="false">MIN(N3,L3*20)</f>
        <v>52.75</v>
      </c>
      <c r="P3" s="6" t="n">
        <f aca="false">SUMPRODUCT(기준!$B$4:$L$4,C3:M3)*20</f>
        <v>72</v>
      </c>
      <c r="Q3" s="7" t="n">
        <f aca="false">MIN(P3,L3*20)</f>
        <v>72</v>
      </c>
      <c r="R3" s="8" t="str">
        <f aca="false">IF(O3&gt;=80,"즉시 착수",IF(O3&gt;=60,"조건부 착수",IF(O3&gt;=40,"보조도구","회피")))</f>
        <v>보조도구</v>
      </c>
      <c r="S3" s="8" t="str">
        <f aca="false">IF(Q3&gt;=80,"즉시 착수",IF(Q3&gt;=60,"조건부 착수",IF(Q3&gt;=40,"보조도구","회피")))</f>
        <v>조건부 착수</v>
      </c>
      <c r="T3" s="8" t="str">
        <f aca="false">IF(COUNTIF(C3:M3,1)&gt;0,"⚠1점축","")</f>
        <v/>
      </c>
      <c r="U3" s="9" t="s">
        <v>26</v>
      </c>
    </row>
    <row r="4" customFormat="false" ht="39" hidden="false" customHeight="true" outlineLevel="0" collapsed="false">
      <c r="A4" s="4" t="s">
        <v>24</v>
      </c>
      <c r="B4" s="5" t="s">
        <v>27</v>
      </c>
      <c r="C4" s="6" t="n">
        <v>2.5</v>
      </c>
      <c r="D4" s="6" t="n">
        <v>2.5</v>
      </c>
      <c r="E4" s="6" t="n">
        <v>2</v>
      </c>
      <c r="F4" s="6" t="n">
        <v>2.5</v>
      </c>
      <c r="G4" s="6" t="n">
        <v>4.5</v>
      </c>
      <c r="H4" s="6" t="n">
        <v>4</v>
      </c>
      <c r="I4" s="6" t="n">
        <v>2</v>
      </c>
      <c r="J4" s="6" t="n">
        <v>3.5</v>
      </c>
      <c r="K4" s="6" t="n">
        <v>3.5</v>
      </c>
      <c r="L4" s="6" t="n">
        <v>4.5</v>
      </c>
      <c r="M4" s="6" t="n">
        <v>5</v>
      </c>
      <c r="N4" s="6" t="n">
        <f aca="false">SUMPRODUCT(기준!$B$3:$L$3,C4:M4)*20</f>
        <v>54.5</v>
      </c>
      <c r="O4" s="7" t="n">
        <f aca="false">MIN(N4,L4*20)</f>
        <v>54.5</v>
      </c>
      <c r="P4" s="6" t="n">
        <f aca="false">SUMPRODUCT(기준!$B$4:$L$4,C4:M4)*20</f>
        <v>73.25</v>
      </c>
      <c r="Q4" s="7" t="n">
        <f aca="false">MIN(P4,L4*20)</f>
        <v>73.25</v>
      </c>
      <c r="R4" s="8" t="str">
        <f aca="false">IF(O4&gt;=80,"즉시 착수",IF(O4&gt;=60,"조건부 착수",IF(O4&gt;=40,"보조도구","회피")))</f>
        <v>보조도구</v>
      </c>
      <c r="S4" s="8" t="str">
        <f aca="false">IF(Q4&gt;=80,"즉시 착수",IF(Q4&gt;=60,"조건부 착수",IF(Q4&gt;=40,"보조도구","회피")))</f>
        <v>조건부 착수</v>
      </c>
      <c r="T4" s="8" t="str">
        <f aca="false">IF(COUNTIF(C4:M4,1)&gt;0,"⚠1점축","")</f>
        <v/>
      </c>
      <c r="U4" s="10" t="s">
        <v>28</v>
      </c>
    </row>
    <row r="5" customFormat="false" ht="15" hidden="false" customHeight="true" outlineLevel="0" collapsed="false">
      <c r="A5" s="4" t="s">
        <v>24</v>
      </c>
      <c r="B5" s="11" t="s">
        <v>29</v>
      </c>
      <c r="C5" s="6" t="n">
        <v>2</v>
      </c>
      <c r="D5" s="6" t="n">
        <v>2.5</v>
      </c>
      <c r="E5" s="6" t="n">
        <v>2.5</v>
      </c>
      <c r="F5" s="6" t="n">
        <v>2</v>
      </c>
      <c r="G5" s="6" t="n">
        <v>1.5</v>
      </c>
      <c r="H5" s="6" t="n">
        <v>4.5</v>
      </c>
      <c r="I5" s="6" t="n">
        <v>2.5</v>
      </c>
      <c r="J5" s="6" t="n">
        <v>3.5</v>
      </c>
      <c r="K5" s="6" t="n">
        <v>4</v>
      </c>
      <c r="L5" s="6" t="n">
        <v>5</v>
      </c>
      <c r="M5" s="6" t="n">
        <v>5</v>
      </c>
      <c r="N5" s="6" t="n">
        <f aca="false">SUMPRODUCT(기준!$B$3:$L$3,C5:M5)*20</f>
        <v>50.25</v>
      </c>
      <c r="O5" s="7" t="n">
        <f aca="false">MIN(N5,L5*20)</f>
        <v>50.25</v>
      </c>
      <c r="P5" s="6" t="n">
        <f aca="false">SUMPRODUCT(기준!$B$4:$L$4,C5:M5)*20</f>
        <v>70.5</v>
      </c>
      <c r="Q5" s="7" t="n">
        <f aca="false">MIN(P5,L5*20)</f>
        <v>70.5</v>
      </c>
      <c r="R5" s="8" t="str">
        <f aca="false">IF(O5&gt;=80,"즉시 착수",IF(O5&gt;=60,"조건부 착수",IF(O5&gt;=40,"보조도구","회피")))</f>
        <v>보조도구</v>
      </c>
      <c r="S5" s="8" t="str">
        <f aca="false">IF(Q5&gt;=80,"즉시 착수",IF(Q5&gt;=60,"조건부 착수",IF(Q5&gt;=40,"보조도구","회피")))</f>
        <v>조건부 착수</v>
      </c>
      <c r="T5" s="8" t="str">
        <f aca="false">IF(COUNTIF(C5:M5,1)&gt;0,"⚠1점축","")</f>
        <v/>
      </c>
      <c r="U5" s="9" t="s">
        <v>30</v>
      </c>
    </row>
    <row r="6" customFormat="false" ht="15" hidden="false" customHeight="true" outlineLevel="0" collapsed="false">
      <c r="A6" s="4" t="s">
        <v>31</v>
      </c>
      <c r="B6" s="11" t="s">
        <v>32</v>
      </c>
      <c r="C6" s="6" t="n">
        <v>3.5</v>
      </c>
      <c r="D6" s="6" t="n">
        <v>4.5</v>
      </c>
      <c r="E6" s="6" t="n">
        <v>2.5</v>
      </c>
      <c r="F6" s="6" t="n">
        <v>2.5</v>
      </c>
      <c r="G6" s="6" t="n">
        <v>2.5</v>
      </c>
      <c r="H6" s="6" t="n">
        <v>3.5</v>
      </c>
      <c r="I6" s="6" t="n">
        <v>2.5</v>
      </c>
      <c r="J6" s="6" t="n">
        <v>2.5</v>
      </c>
      <c r="K6" s="6" t="n">
        <v>2</v>
      </c>
      <c r="L6" s="6" t="n">
        <v>5</v>
      </c>
      <c r="M6" s="6" t="n">
        <v>4.5</v>
      </c>
      <c r="N6" s="6" t="n">
        <f aca="false">SUMPRODUCT(기준!$B$3:$L$3,C6:M6)*20</f>
        <v>56.25</v>
      </c>
      <c r="O6" s="7" t="n">
        <f aca="false">MIN(N6,L6*20)</f>
        <v>56.25</v>
      </c>
      <c r="P6" s="6" t="n">
        <f aca="false">SUMPRODUCT(기준!$B$4:$L$4,C6:M6)*20</f>
        <v>64.5</v>
      </c>
      <c r="Q6" s="7" t="n">
        <f aca="false">MIN(P6,L6*20)</f>
        <v>64.5</v>
      </c>
      <c r="R6" s="8" t="str">
        <f aca="false">IF(O6&gt;=80,"즉시 착수",IF(O6&gt;=60,"조건부 착수",IF(O6&gt;=40,"보조도구","회피")))</f>
        <v>보조도구</v>
      </c>
      <c r="S6" s="8" t="str">
        <f aca="false">IF(Q6&gt;=80,"즉시 착수",IF(Q6&gt;=60,"조건부 착수",IF(Q6&gt;=40,"보조도구","회피")))</f>
        <v>조건부 착수</v>
      </c>
      <c r="T6" s="8" t="str">
        <f aca="false">IF(COUNTIF(C6:M6,1)&gt;0,"⚠1점축","")</f>
        <v/>
      </c>
      <c r="U6" s="9" t="s">
        <v>33</v>
      </c>
    </row>
    <row r="7" customFormat="false" ht="15" hidden="false" customHeight="true" outlineLevel="0" collapsed="false">
      <c r="A7" s="4" t="s">
        <v>21</v>
      </c>
      <c r="B7" s="5" t="s">
        <v>34</v>
      </c>
      <c r="C7" s="6" t="n">
        <v>3.5</v>
      </c>
      <c r="D7" s="6" t="n">
        <v>2.5</v>
      </c>
      <c r="E7" s="6" t="n">
        <v>3</v>
      </c>
      <c r="F7" s="6" t="n">
        <v>3</v>
      </c>
      <c r="G7" s="6" t="n">
        <v>5</v>
      </c>
      <c r="H7" s="6" t="n">
        <v>4</v>
      </c>
      <c r="I7" s="6" t="n">
        <v>2.5</v>
      </c>
      <c r="J7" s="6" t="n">
        <v>2</v>
      </c>
      <c r="K7" s="6" t="n">
        <v>2.5</v>
      </c>
      <c r="L7" s="6" t="n">
        <v>3.5</v>
      </c>
      <c r="M7" s="6" t="n">
        <v>3</v>
      </c>
      <c r="N7" s="6" t="n">
        <f aca="false">SUMPRODUCT(기준!$B$3:$L$3,C7:M7)*20</f>
        <v>62.5</v>
      </c>
      <c r="O7" s="7" t="n">
        <f aca="false">MIN(N7,L7*20)</f>
        <v>62.5</v>
      </c>
      <c r="P7" s="6" t="n">
        <f aca="false">SUMPRODUCT(기준!$B$4:$L$4,C7:M7)*20</f>
        <v>63.5</v>
      </c>
      <c r="Q7" s="7" t="n">
        <f aca="false">MIN(P7,L7*20)</f>
        <v>63.5</v>
      </c>
      <c r="R7" s="8" t="str">
        <f aca="false">IF(O7&gt;=80,"즉시 착수",IF(O7&gt;=60,"조건부 착수",IF(O7&gt;=40,"보조도구","회피")))</f>
        <v>조건부 착수</v>
      </c>
      <c r="S7" s="8" t="str">
        <f aca="false">IF(Q7&gt;=80,"즉시 착수",IF(Q7&gt;=60,"조건부 착수",IF(Q7&gt;=40,"보조도구","회피")))</f>
        <v>조건부 착수</v>
      </c>
      <c r="T7" s="8" t="str">
        <f aca="false">IF(COUNTIF(C7:M7,1)&gt;0,"⚠1점축","")</f>
        <v/>
      </c>
      <c r="U7" s="9" t="s">
        <v>35</v>
      </c>
    </row>
    <row r="8" customFormat="false" ht="39" hidden="false" customHeight="true" outlineLevel="0" collapsed="false">
      <c r="A8" s="4" t="s">
        <v>24</v>
      </c>
      <c r="B8" s="5" t="s">
        <v>36</v>
      </c>
      <c r="C8" s="6" t="n">
        <v>2.5</v>
      </c>
      <c r="D8" s="6" t="n">
        <v>2.5</v>
      </c>
      <c r="E8" s="6" t="n">
        <v>2.5</v>
      </c>
      <c r="F8" s="6" t="n">
        <v>1.5</v>
      </c>
      <c r="G8" s="6" t="n">
        <v>3.5</v>
      </c>
      <c r="H8" s="6" t="n">
        <v>4</v>
      </c>
      <c r="I8" s="6" t="n">
        <v>2</v>
      </c>
      <c r="J8" s="6" t="n">
        <v>5</v>
      </c>
      <c r="K8" s="6" t="n">
        <v>3</v>
      </c>
      <c r="L8" s="6" t="n">
        <v>4</v>
      </c>
      <c r="M8" s="6" t="n">
        <v>4.5</v>
      </c>
      <c r="N8" s="6" t="n">
        <f aca="false">SUMPRODUCT(기준!$B$3:$L$3,C8:M8)*20</f>
        <v>52.25</v>
      </c>
      <c r="O8" s="7" t="n">
        <f aca="false">MIN(N8,L8*20)</f>
        <v>52.25</v>
      </c>
      <c r="P8" s="6" t="n">
        <f aca="false">SUMPRODUCT(기준!$B$4:$L$4,C8:M8)*20</f>
        <v>71</v>
      </c>
      <c r="Q8" s="7" t="n">
        <f aca="false">MIN(P8,L8*20)</f>
        <v>71</v>
      </c>
      <c r="R8" s="8" t="str">
        <f aca="false">IF(O8&gt;=80,"즉시 착수",IF(O8&gt;=60,"조건부 착수",IF(O8&gt;=40,"보조도구","회피")))</f>
        <v>보조도구</v>
      </c>
      <c r="S8" s="8" t="str">
        <f aca="false">IF(Q8&gt;=80,"즉시 착수",IF(Q8&gt;=60,"조건부 착수",IF(Q8&gt;=40,"보조도구","회피")))</f>
        <v>조건부 착수</v>
      </c>
      <c r="T8" s="8" t="str">
        <f aca="false">IF(COUNTIF(C8:M8,1)&gt;0,"⚠1점축","")</f>
        <v/>
      </c>
      <c r="U8" s="10" t="s">
        <v>37</v>
      </c>
    </row>
    <row r="9" customFormat="false" ht="15" hidden="false" customHeight="true" outlineLevel="0" collapsed="false">
      <c r="A9" s="4" t="s">
        <v>31</v>
      </c>
      <c r="B9" s="5" t="s">
        <v>38</v>
      </c>
      <c r="C9" s="6" t="n">
        <v>3.5</v>
      </c>
      <c r="D9" s="6" t="n">
        <v>4.5</v>
      </c>
      <c r="E9" s="6" t="n">
        <v>3</v>
      </c>
      <c r="F9" s="6" t="n">
        <v>2.5</v>
      </c>
      <c r="G9" s="6" t="n">
        <v>2.5</v>
      </c>
      <c r="H9" s="6" t="n">
        <v>4</v>
      </c>
      <c r="I9" s="6" t="n">
        <v>2.5</v>
      </c>
      <c r="J9" s="6" t="n">
        <v>1.5</v>
      </c>
      <c r="K9" s="6" t="n">
        <v>2.5</v>
      </c>
      <c r="L9" s="6" t="n">
        <v>5</v>
      </c>
      <c r="M9" s="6" t="n">
        <v>3.5</v>
      </c>
      <c r="N9" s="6" t="n">
        <f aca="false">SUMPRODUCT(기준!$B$3:$L$3,C9:M9)*20</f>
        <v>58.5</v>
      </c>
      <c r="O9" s="7" t="n">
        <f aca="false">MIN(N9,L9*20)</f>
        <v>58.5</v>
      </c>
      <c r="P9" s="6" t="n">
        <f aca="false">SUMPRODUCT(기준!$B$4:$L$4,C9:M9)*20</f>
        <v>60.75</v>
      </c>
      <c r="Q9" s="7" t="n">
        <f aca="false">MIN(P9,L9*20)</f>
        <v>60.75</v>
      </c>
      <c r="R9" s="8" t="str">
        <f aca="false">IF(O9&gt;=80,"즉시 착수",IF(O9&gt;=60,"조건부 착수",IF(O9&gt;=40,"보조도구","회피")))</f>
        <v>보조도구</v>
      </c>
      <c r="S9" s="8" t="str">
        <f aca="false">IF(Q9&gt;=80,"즉시 착수",IF(Q9&gt;=60,"조건부 착수",IF(Q9&gt;=40,"보조도구","회피")))</f>
        <v>조건부 착수</v>
      </c>
      <c r="T9" s="8" t="str">
        <f aca="false">IF(COUNTIF(C9:M9,1)&gt;0,"⚠1점축","")</f>
        <v/>
      </c>
      <c r="U9" s="9" t="s">
        <v>39</v>
      </c>
    </row>
    <row r="10" customFormat="false" ht="15" hidden="false" customHeight="true" outlineLevel="0" collapsed="false">
      <c r="A10" s="4" t="s">
        <v>31</v>
      </c>
      <c r="B10" s="11" t="s">
        <v>40</v>
      </c>
      <c r="C10" s="6" t="n">
        <v>2</v>
      </c>
      <c r="D10" s="6" t="n">
        <v>1.5</v>
      </c>
      <c r="E10" s="6" t="n">
        <v>2.5</v>
      </c>
      <c r="F10" s="6" t="n">
        <v>2</v>
      </c>
      <c r="G10" s="6" t="n">
        <v>2</v>
      </c>
      <c r="H10" s="6" t="n">
        <v>4.5</v>
      </c>
      <c r="I10" s="6" t="n">
        <v>2</v>
      </c>
      <c r="J10" s="6" t="n">
        <v>3</v>
      </c>
      <c r="K10" s="6" t="n">
        <v>3.5</v>
      </c>
      <c r="L10" s="6" t="n">
        <v>5</v>
      </c>
      <c r="M10" s="6" t="n">
        <v>4.5</v>
      </c>
      <c r="N10" s="6" t="n">
        <f aca="false">SUMPRODUCT(기준!$B$3:$L$3,C10:M10)*20</f>
        <v>47</v>
      </c>
      <c r="O10" s="7" t="n">
        <f aca="false">MIN(N10,L10*20)</f>
        <v>47</v>
      </c>
      <c r="P10" s="6" t="n">
        <f aca="false">SUMPRODUCT(기준!$B$4:$L$4,C10:M10)*20</f>
        <v>65.5</v>
      </c>
      <c r="Q10" s="7" t="n">
        <f aca="false">MIN(P10,L10*20)</f>
        <v>65.5</v>
      </c>
      <c r="R10" s="8" t="str">
        <f aca="false">IF(O10&gt;=80,"즉시 착수",IF(O10&gt;=60,"조건부 착수",IF(O10&gt;=40,"보조도구","회피")))</f>
        <v>보조도구</v>
      </c>
      <c r="S10" s="8" t="str">
        <f aca="false">IF(Q10&gt;=80,"즉시 착수",IF(Q10&gt;=60,"조건부 착수",IF(Q10&gt;=40,"보조도구","회피")))</f>
        <v>조건부 착수</v>
      </c>
      <c r="T10" s="8" t="str">
        <f aca="false">IF(COUNTIF(C10:M10,1)&gt;0,"⚠1점축","")</f>
        <v/>
      </c>
      <c r="U10" s="9" t="s">
        <v>41</v>
      </c>
    </row>
    <row r="11" customFormat="false" ht="15" hidden="false" customHeight="true" outlineLevel="0" collapsed="false">
      <c r="A11" s="4" t="s">
        <v>21</v>
      </c>
      <c r="B11" s="5" t="s">
        <v>42</v>
      </c>
      <c r="C11" s="6" t="n">
        <v>3.5</v>
      </c>
      <c r="D11" s="6" t="n">
        <v>2.5</v>
      </c>
      <c r="E11" s="6" t="n">
        <v>3</v>
      </c>
      <c r="F11" s="6" t="n">
        <v>3</v>
      </c>
      <c r="G11" s="6" t="n">
        <v>5</v>
      </c>
      <c r="H11" s="6" t="n">
        <v>4</v>
      </c>
      <c r="I11" s="6" t="n">
        <v>2.5</v>
      </c>
      <c r="J11" s="6" t="n">
        <v>2</v>
      </c>
      <c r="K11" s="6" t="n">
        <v>2.5</v>
      </c>
      <c r="L11" s="6" t="n">
        <v>3.5</v>
      </c>
      <c r="M11" s="6" t="n">
        <v>2.5</v>
      </c>
      <c r="N11" s="6" t="n">
        <f aca="false">SUMPRODUCT(기준!$B$3:$L$3,C11:M11)*20</f>
        <v>62.5</v>
      </c>
      <c r="O11" s="7" t="n">
        <f aca="false">MIN(N11,L11*20)</f>
        <v>62.5</v>
      </c>
      <c r="P11" s="6" t="n">
        <f aca="false">SUMPRODUCT(기준!$B$4:$L$4,C11:M11)*20</f>
        <v>61</v>
      </c>
      <c r="Q11" s="7" t="n">
        <f aca="false">MIN(P11,L11*20)</f>
        <v>61</v>
      </c>
      <c r="R11" s="8" t="str">
        <f aca="false">IF(O11&gt;=80,"즉시 착수",IF(O11&gt;=60,"조건부 착수",IF(O11&gt;=40,"보조도구","회피")))</f>
        <v>조건부 착수</v>
      </c>
      <c r="S11" s="8" t="str">
        <f aca="false">IF(Q11&gt;=80,"즉시 착수",IF(Q11&gt;=60,"조건부 착수",IF(Q11&gt;=40,"보조도구","회피")))</f>
        <v>조건부 착수</v>
      </c>
      <c r="T11" s="8" t="str">
        <f aca="false">IF(COUNTIF(C11:M11,1)&gt;0,"⚠1점축","")</f>
        <v/>
      </c>
      <c r="U11" s="9" t="s">
        <v>43</v>
      </c>
    </row>
    <row r="12" customFormat="false" ht="51.75" hidden="false" customHeight="true" outlineLevel="0" collapsed="false">
      <c r="A12" s="4" t="s">
        <v>24</v>
      </c>
      <c r="B12" s="5" t="s">
        <v>44</v>
      </c>
      <c r="C12" s="6" t="n">
        <v>2</v>
      </c>
      <c r="D12" s="6" t="n">
        <v>2</v>
      </c>
      <c r="E12" s="6" t="n">
        <v>2.5</v>
      </c>
      <c r="F12" s="6" t="n">
        <v>2</v>
      </c>
      <c r="G12" s="6" t="n">
        <v>1.5</v>
      </c>
      <c r="H12" s="6" t="n">
        <v>4</v>
      </c>
      <c r="I12" s="6" t="n">
        <v>2.5</v>
      </c>
      <c r="J12" s="6" t="n">
        <v>2.5</v>
      </c>
      <c r="K12" s="6" t="n">
        <v>2</v>
      </c>
      <c r="L12" s="6" t="n">
        <v>4</v>
      </c>
      <c r="M12" s="6" t="n">
        <v>5</v>
      </c>
      <c r="N12" s="6" t="n">
        <f aca="false">SUMPRODUCT(기준!$B$3:$L$3,C12:M12)*20</f>
        <v>45</v>
      </c>
      <c r="O12" s="7" t="n">
        <f aca="false">MIN(N12,L12*20)</f>
        <v>45</v>
      </c>
      <c r="P12" s="6" t="n">
        <f aca="false">SUMPRODUCT(기준!$B$4:$L$4,C12:M12)*20</f>
        <v>62.75</v>
      </c>
      <c r="Q12" s="7" t="n">
        <f aca="false">MIN(P12,L12*20)</f>
        <v>62.75</v>
      </c>
      <c r="R12" s="8" t="str">
        <f aca="false">IF(O12&gt;=80,"즉시 착수",IF(O12&gt;=60,"조건부 착수",IF(O12&gt;=40,"보조도구","회피")))</f>
        <v>보조도구</v>
      </c>
      <c r="S12" s="8" t="str">
        <f aca="false">IF(Q12&gt;=80,"즉시 착수",IF(Q12&gt;=60,"조건부 착수",IF(Q12&gt;=40,"보조도구","회피")))</f>
        <v>조건부 착수</v>
      </c>
      <c r="T12" s="8" t="str">
        <f aca="false">IF(COUNTIF(C12:M12,1)&gt;0,"⚠1점축","")</f>
        <v/>
      </c>
      <c r="U12" s="10" t="s">
        <v>45</v>
      </c>
    </row>
    <row r="13" customFormat="false" ht="15" hidden="false" customHeight="true" outlineLevel="0" collapsed="false">
      <c r="A13" s="4" t="s">
        <v>46</v>
      </c>
      <c r="B13" s="5" t="s">
        <v>47</v>
      </c>
      <c r="C13" s="6" t="n">
        <v>3.5</v>
      </c>
      <c r="D13" s="6" t="n">
        <v>3</v>
      </c>
      <c r="E13" s="6" t="n">
        <v>2.5</v>
      </c>
      <c r="F13" s="6" t="n">
        <v>2</v>
      </c>
      <c r="G13" s="6" t="n">
        <v>4.5</v>
      </c>
      <c r="H13" s="6" t="n">
        <v>4</v>
      </c>
      <c r="I13" s="6" t="n">
        <v>1.5</v>
      </c>
      <c r="J13" s="6" t="n">
        <v>4.5</v>
      </c>
      <c r="K13" s="6" t="n">
        <v>3</v>
      </c>
      <c r="L13" s="6" t="n">
        <v>4.5</v>
      </c>
      <c r="M13" s="6" t="n">
        <v>3</v>
      </c>
      <c r="N13" s="6" t="n">
        <f aca="false">SUMPRODUCT(기준!$B$3:$L$3,C13:M13)*20</f>
        <v>57.5</v>
      </c>
      <c r="O13" s="7" t="n">
        <f aca="false">MIN(N13,L13*20)</f>
        <v>57.5</v>
      </c>
      <c r="P13" s="6" t="n">
        <f aca="false">SUMPRODUCT(기준!$B$4:$L$4,C13:M13)*20</f>
        <v>65.5</v>
      </c>
      <c r="Q13" s="7" t="n">
        <f aca="false">MIN(P13,L13*20)</f>
        <v>65.5</v>
      </c>
      <c r="R13" s="8" t="str">
        <f aca="false">IF(O13&gt;=80,"즉시 착수",IF(O13&gt;=60,"조건부 착수",IF(O13&gt;=40,"보조도구","회피")))</f>
        <v>보조도구</v>
      </c>
      <c r="S13" s="8" t="str">
        <f aca="false">IF(Q13&gt;=80,"즉시 착수",IF(Q13&gt;=60,"조건부 착수",IF(Q13&gt;=40,"보조도구","회피")))</f>
        <v>조건부 착수</v>
      </c>
      <c r="T13" s="8" t="str">
        <f aca="false">IF(COUNTIF(C13:M13,1)&gt;0,"⚠1점축","")</f>
        <v/>
      </c>
      <c r="U13" s="9" t="s">
        <v>48</v>
      </c>
    </row>
    <row r="14" customFormat="false" ht="39" hidden="false" customHeight="true" outlineLevel="0" collapsed="false">
      <c r="A14" s="4" t="s">
        <v>21</v>
      </c>
      <c r="B14" s="5" t="s">
        <v>49</v>
      </c>
      <c r="C14" s="6" t="n">
        <v>4</v>
      </c>
      <c r="D14" s="6" t="n">
        <v>4</v>
      </c>
      <c r="E14" s="6" t="n">
        <v>3.5</v>
      </c>
      <c r="F14" s="6" t="n">
        <v>2.5</v>
      </c>
      <c r="G14" s="6" t="n">
        <v>5</v>
      </c>
      <c r="H14" s="6" t="n">
        <v>3.5</v>
      </c>
      <c r="I14" s="6" t="n">
        <v>2</v>
      </c>
      <c r="J14" s="6" t="n">
        <v>5</v>
      </c>
      <c r="K14" s="6" t="n">
        <v>2.5</v>
      </c>
      <c r="L14" s="6" t="n">
        <v>3</v>
      </c>
      <c r="M14" s="6" t="n">
        <v>3.5</v>
      </c>
      <c r="N14" s="6" t="n">
        <f aca="false">SUMPRODUCT(기준!$B$3:$L$3,C14:M14)*20</f>
        <v>67.75</v>
      </c>
      <c r="O14" s="7" t="n">
        <f aca="false">MIN(N14,L14*20)</f>
        <v>60</v>
      </c>
      <c r="P14" s="6" t="n">
        <f aca="false">SUMPRODUCT(기준!$B$4:$L$4,C14:M14)*20</f>
        <v>71.5</v>
      </c>
      <c r="Q14" s="7" t="n">
        <f aca="false">MIN(P14,L14*20)</f>
        <v>60</v>
      </c>
      <c r="R14" s="8" t="str">
        <f aca="false">IF(O14&gt;=80,"즉시 착수",IF(O14&gt;=60,"조건부 착수",IF(O14&gt;=40,"보조도구","회피")))</f>
        <v>조건부 착수</v>
      </c>
      <c r="S14" s="8" t="str">
        <f aca="false">IF(Q14&gt;=80,"즉시 착수",IF(Q14&gt;=60,"조건부 착수",IF(Q14&gt;=40,"보조도구","회피")))</f>
        <v>조건부 착수</v>
      </c>
      <c r="T14" s="8" t="str">
        <f aca="false">IF(COUNTIF(C14:M14,1)&gt;0,"⚠1점축","")</f>
        <v/>
      </c>
      <c r="U14" s="10" t="s">
        <v>50</v>
      </c>
    </row>
    <row r="15" customFormat="false" ht="15" hidden="false" customHeight="true" outlineLevel="0" collapsed="false">
      <c r="A15" s="4" t="s">
        <v>21</v>
      </c>
      <c r="B15" s="11" t="s">
        <v>51</v>
      </c>
      <c r="C15" s="6" t="n">
        <v>3.5</v>
      </c>
      <c r="D15" s="6" t="n">
        <v>3</v>
      </c>
      <c r="E15" s="6" t="n">
        <v>3</v>
      </c>
      <c r="F15" s="6" t="n">
        <v>3.5</v>
      </c>
      <c r="G15" s="6" t="n">
        <v>5</v>
      </c>
      <c r="H15" s="6" t="n">
        <v>2.5</v>
      </c>
      <c r="I15" s="6" t="n">
        <v>1.5</v>
      </c>
      <c r="J15" s="6" t="n">
        <v>3.5</v>
      </c>
      <c r="K15" s="6" t="n">
        <v>3</v>
      </c>
      <c r="L15" s="6" t="n">
        <v>3</v>
      </c>
      <c r="M15" s="6" t="n">
        <v>3.5</v>
      </c>
      <c r="N15" s="6" t="n">
        <f aca="false">SUMPRODUCT(기준!$B$3:$L$3,C15:M15)*20</f>
        <v>62.5</v>
      </c>
      <c r="O15" s="7" t="n">
        <f aca="false">MIN(N15,L15*20)</f>
        <v>60</v>
      </c>
      <c r="P15" s="6" t="n">
        <f aca="false">SUMPRODUCT(기준!$B$4:$L$4,C15:M15)*20</f>
        <v>64</v>
      </c>
      <c r="Q15" s="7" t="n">
        <f aca="false">MIN(P15,L15*20)</f>
        <v>60</v>
      </c>
      <c r="R15" s="8" t="str">
        <f aca="false">IF(O15&gt;=80,"즉시 착수",IF(O15&gt;=60,"조건부 착수",IF(O15&gt;=40,"보조도구","회피")))</f>
        <v>조건부 착수</v>
      </c>
      <c r="S15" s="8" t="str">
        <f aca="false">IF(Q15&gt;=80,"즉시 착수",IF(Q15&gt;=60,"조건부 착수",IF(Q15&gt;=40,"보조도구","회피")))</f>
        <v>조건부 착수</v>
      </c>
      <c r="T15" s="8" t="str">
        <f aca="false">IF(COUNTIF(C15:M15,1)&gt;0,"⚠1점축","")</f>
        <v/>
      </c>
      <c r="U15" s="9" t="s">
        <v>52</v>
      </c>
    </row>
    <row r="16" customFormat="false" ht="15" hidden="false" customHeight="true" outlineLevel="0" collapsed="false">
      <c r="A16" s="4" t="s">
        <v>46</v>
      </c>
      <c r="B16" s="5" t="s">
        <v>53</v>
      </c>
      <c r="C16" s="6" t="n">
        <v>3</v>
      </c>
      <c r="D16" s="6" t="n">
        <v>2</v>
      </c>
      <c r="E16" s="6" t="n">
        <v>2</v>
      </c>
      <c r="F16" s="6" t="n">
        <v>2</v>
      </c>
      <c r="G16" s="6" t="n">
        <v>5</v>
      </c>
      <c r="H16" s="6" t="n">
        <v>4.5</v>
      </c>
      <c r="I16" s="6" t="n">
        <v>1.5</v>
      </c>
      <c r="J16" s="6" t="n">
        <v>4.5</v>
      </c>
      <c r="K16" s="6" t="n">
        <v>3</v>
      </c>
      <c r="L16" s="6" t="n">
        <v>4.5</v>
      </c>
      <c r="M16" s="6" t="n">
        <v>2.5</v>
      </c>
      <c r="N16" s="6" t="n">
        <f aca="false">SUMPRODUCT(기준!$B$3:$L$3,C16:M16)*20</f>
        <v>54</v>
      </c>
      <c r="O16" s="7" t="n">
        <f aca="false">MIN(N16,L16*20)</f>
        <v>54</v>
      </c>
      <c r="P16" s="6" t="n">
        <f aca="false">SUMPRODUCT(기준!$B$4:$L$4,C16:M16)*20</f>
        <v>63.5</v>
      </c>
      <c r="Q16" s="7" t="n">
        <f aca="false">MIN(P16,L16*20)</f>
        <v>63.5</v>
      </c>
      <c r="R16" s="8" t="str">
        <f aca="false">IF(O16&gt;=80,"즉시 착수",IF(O16&gt;=60,"조건부 착수",IF(O16&gt;=40,"보조도구","회피")))</f>
        <v>보조도구</v>
      </c>
      <c r="S16" s="8" t="str">
        <f aca="false">IF(Q16&gt;=80,"즉시 착수",IF(Q16&gt;=60,"조건부 착수",IF(Q16&gt;=40,"보조도구","회피")))</f>
        <v>조건부 착수</v>
      </c>
      <c r="T16" s="8" t="str">
        <f aca="false">IF(COUNTIF(C16:M16,1)&gt;0,"⚠1점축","")</f>
        <v/>
      </c>
      <c r="U16" s="9" t="s">
        <v>54</v>
      </c>
    </row>
    <row r="17" customFormat="false" ht="15" hidden="false" customHeight="true" outlineLevel="0" collapsed="false">
      <c r="A17" s="4" t="s">
        <v>31</v>
      </c>
      <c r="B17" s="11" t="s">
        <v>55</v>
      </c>
      <c r="C17" s="6" t="n">
        <v>2.5</v>
      </c>
      <c r="D17" s="6" t="n">
        <v>1.5</v>
      </c>
      <c r="E17" s="6" t="n">
        <v>2.5</v>
      </c>
      <c r="F17" s="6" t="n">
        <v>1.5</v>
      </c>
      <c r="G17" s="6" t="n">
        <v>2</v>
      </c>
      <c r="H17" s="6" t="n">
        <v>5</v>
      </c>
      <c r="I17" s="6" t="n">
        <v>2</v>
      </c>
      <c r="J17" s="6" t="n">
        <v>3</v>
      </c>
      <c r="K17" s="6" t="n">
        <v>4</v>
      </c>
      <c r="L17" s="6" t="n">
        <v>4.5</v>
      </c>
      <c r="M17" s="6" t="n">
        <v>3</v>
      </c>
      <c r="N17" s="6" t="n">
        <f aca="false">SUMPRODUCT(기준!$B$3:$L$3,C17:M17)*20</f>
        <v>48.25</v>
      </c>
      <c r="O17" s="7" t="n">
        <f aca="false">MIN(N17,L17*20)</f>
        <v>48.25</v>
      </c>
      <c r="P17" s="6" t="n">
        <f aca="false">SUMPRODUCT(기준!$B$4:$L$4,C17:M17)*20</f>
        <v>61</v>
      </c>
      <c r="Q17" s="7" t="n">
        <f aca="false">MIN(P17,L17*20)</f>
        <v>61</v>
      </c>
      <c r="R17" s="8" t="str">
        <f aca="false">IF(O17&gt;=80,"즉시 착수",IF(O17&gt;=60,"조건부 착수",IF(O17&gt;=40,"보조도구","회피")))</f>
        <v>보조도구</v>
      </c>
      <c r="S17" s="8" t="str">
        <f aca="false">IF(Q17&gt;=80,"즉시 착수",IF(Q17&gt;=60,"조건부 착수",IF(Q17&gt;=40,"보조도구","회피")))</f>
        <v>조건부 착수</v>
      </c>
      <c r="T17" s="8" t="str">
        <f aca="false">IF(COUNTIF(C17:M17,1)&gt;0,"⚠1점축","")</f>
        <v/>
      </c>
      <c r="U17" s="9" t="s">
        <v>56</v>
      </c>
    </row>
    <row r="18" customFormat="false" ht="15" hidden="false" customHeight="true" outlineLevel="0" collapsed="false">
      <c r="A18" s="4" t="s">
        <v>31</v>
      </c>
      <c r="B18" s="11" t="s">
        <v>57</v>
      </c>
      <c r="C18" s="6" t="n">
        <v>4.5</v>
      </c>
      <c r="D18" s="6" t="n">
        <v>4.5</v>
      </c>
      <c r="E18" s="6" t="n">
        <v>4</v>
      </c>
      <c r="F18" s="6" t="n">
        <v>3.5</v>
      </c>
      <c r="G18" s="6" t="n">
        <v>3.5</v>
      </c>
      <c r="H18" s="6" t="n">
        <v>3.5</v>
      </c>
      <c r="I18" s="6" t="n">
        <v>2</v>
      </c>
      <c r="J18" s="6" t="n">
        <v>1.5</v>
      </c>
      <c r="K18" s="6" t="n">
        <v>1.5</v>
      </c>
      <c r="L18" s="6" t="n">
        <v>4</v>
      </c>
      <c r="M18" s="6" t="n">
        <v>1.5</v>
      </c>
      <c r="N18" s="6" t="n">
        <f aca="false">SUMPRODUCT(기준!$B$3:$L$3,C18:M18)*20</f>
        <v>67</v>
      </c>
      <c r="O18" s="7" t="n">
        <f aca="false">MIN(N18,L18*20)</f>
        <v>67</v>
      </c>
      <c r="P18" s="6" t="n">
        <f aca="false">SUMPRODUCT(기준!$B$4:$L$4,C18:M18)*20</f>
        <v>51.75</v>
      </c>
      <c r="Q18" s="7" t="n">
        <f aca="false">MIN(P18,L18*20)</f>
        <v>51.75</v>
      </c>
      <c r="R18" s="8" t="str">
        <f aca="false">IF(O18&gt;=80,"즉시 착수",IF(O18&gt;=60,"조건부 착수",IF(O18&gt;=40,"보조도구","회피")))</f>
        <v>조건부 착수</v>
      </c>
      <c r="S18" s="8" t="str">
        <f aca="false">IF(Q18&gt;=80,"즉시 착수",IF(Q18&gt;=60,"조건부 착수",IF(Q18&gt;=40,"보조도구","회피")))</f>
        <v>보조도구</v>
      </c>
      <c r="T18" s="8" t="str">
        <f aca="false">IF(COUNTIF(C18:M18,1)&gt;0,"⚠1점축","")</f>
        <v/>
      </c>
      <c r="U18" s="10" t="s">
        <v>58</v>
      </c>
    </row>
    <row r="19" customFormat="false" ht="15" hidden="false" customHeight="true" outlineLevel="0" collapsed="false">
      <c r="A19" s="4" t="s">
        <v>31</v>
      </c>
      <c r="B19" s="11" t="s">
        <v>59</v>
      </c>
      <c r="C19" s="6" t="n">
        <v>4</v>
      </c>
      <c r="D19" s="6" t="n">
        <v>4.5</v>
      </c>
      <c r="E19" s="6" t="n">
        <v>3</v>
      </c>
      <c r="F19" s="6" t="n">
        <v>3</v>
      </c>
      <c r="G19" s="6" t="n">
        <v>2.5</v>
      </c>
      <c r="H19" s="6" t="n">
        <v>3.5</v>
      </c>
      <c r="I19" s="6" t="n">
        <v>2.5</v>
      </c>
      <c r="J19" s="6" t="n">
        <v>1.5</v>
      </c>
      <c r="K19" s="6" t="n">
        <v>2.5</v>
      </c>
      <c r="L19" s="6" t="n">
        <v>5</v>
      </c>
      <c r="M19" s="6" t="n">
        <v>2</v>
      </c>
      <c r="N19" s="6" t="n">
        <f aca="false">SUMPRODUCT(기준!$B$3:$L$3,C19:M19)*20</f>
        <v>61</v>
      </c>
      <c r="O19" s="7" t="n">
        <f aca="false">MIN(N19,L19*20)</f>
        <v>61</v>
      </c>
      <c r="P19" s="6" t="n">
        <f aca="false">SUMPRODUCT(기준!$B$4:$L$4,C19:M19)*20</f>
        <v>52.75</v>
      </c>
      <c r="Q19" s="7" t="n">
        <f aca="false">MIN(P19,L19*20)</f>
        <v>52.75</v>
      </c>
      <c r="R19" s="8" t="str">
        <f aca="false">IF(O19&gt;=80,"즉시 착수",IF(O19&gt;=60,"조건부 착수",IF(O19&gt;=40,"보조도구","회피")))</f>
        <v>조건부 착수</v>
      </c>
      <c r="S19" s="8" t="str">
        <f aca="false">IF(Q19&gt;=80,"즉시 착수",IF(Q19&gt;=60,"조건부 착수",IF(Q19&gt;=40,"보조도구","회피")))</f>
        <v>보조도구</v>
      </c>
      <c r="T19" s="8" t="str">
        <f aca="false">IF(COUNTIF(C19:M19,1)&gt;0,"⚠1점축","")</f>
        <v/>
      </c>
      <c r="U19" s="9" t="s">
        <v>60</v>
      </c>
    </row>
    <row r="20" customFormat="false" ht="15" hidden="false" customHeight="true" outlineLevel="0" collapsed="false">
      <c r="A20" s="4" t="s">
        <v>46</v>
      </c>
      <c r="B20" s="5" t="s">
        <v>61</v>
      </c>
      <c r="C20" s="6" t="n">
        <v>4</v>
      </c>
      <c r="D20" s="6" t="n">
        <v>4.5</v>
      </c>
      <c r="E20" s="6" t="n">
        <v>3.5</v>
      </c>
      <c r="F20" s="6" t="n">
        <v>3</v>
      </c>
      <c r="G20" s="6" t="n">
        <v>2.5</v>
      </c>
      <c r="H20" s="6" t="n">
        <v>3</v>
      </c>
      <c r="I20" s="6" t="n">
        <v>2.5</v>
      </c>
      <c r="J20" s="6" t="n">
        <v>3</v>
      </c>
      <c r="K20" s="6" t="n">
        <v>2</v>
      </c>
      <c r="L20" s="6" t="n">
        <v>5</v>
      </c>
      <c r="M20" s="6" t="n">
        <v>2</v>
      </c>
      <c r="N20" s="6" t="n">
        <f aca="false">SUMPRODUCT(기준!$B$3:$L$3,C20:M20)*20</f>
        <v>63.25</v>
      </c>
      <c r="O20" s="7" t="n">
        <f aca="false">MIN(N20,L20*20)</f>
        <v>63.25</v>
      </c>
      <c r="P20" s="6" t="n">
        <f aca="false">SUMPRODUCT(기준!$B$4:$L$4,C20:M20)*20</f>
        <v>54</v>
      </c>
      <c r="Q20" s="7" t="n">
        <f aca="false">MIN(P20,L20*20)</f>
        <v>54</v>
      </c>
      <c r="R20" s="8" t="str">
        <f aca="false">IF(O20&gt;=80,"즉시 착수",IF(O20&gt;=60,"조건부 착수",IF(O20&gt;=40,"보조도구","회피")))</f>
        <v>조건부 착수</v>
      </c>
      <c r="S20" s="8" t="str">
        <f aca="false">IF(Q20&gt;=80,"즉시 착수",IF(Q20&gt;=60,"조건부 착수",IF(Q20&gt;=40,"보조도구","회피")))</f>
        <v>보조도구</v>
      </c>
      <c r="T20" s="8" t="str">
        <f aca="false">IF(COUNTIF(C20:M20,1)&gt;0,"⚠1점축","")</f>
        <v/>
      </c>
      <c r="U20" s="9" t="s">
        <v>62</v>
      </c>
    </row>
    <row r="21" customFormat="false" ht="15" hidden="false" customHeight="true" outlineLevel="0" collapsed="false">
      <c r="A21" s="4" t="s">
        <v>31</v>
      </c>
      <c r="B21" s="5" t="s">
        <v>63</v>
      </c>
      <c r="C21" s="6" t="n">
        <v>4</v>
      </c>
      <c r="D21" s="6" t="n">
        <v>4.5</v>
      </c>
      <c r="E21" s="6" t="n">
        <v>3</v>
      </c>
      <c r="F21" s="6" t="n">
        <v>2.5</v>
      </c>
      <c r="G21" s="6" t="n">
        <v>2.5</v>
      </c>
      <c r="H21" s="6" t="n">
        <v>3</v>
      </c>
      <c r="I21" s="6" t="n">
        <v>2.5</v>
      </c>
      <c r="J21" s="6" t="n">
        <v>2.5</v>
      </c>
      <c r="K21" s="6" t="n">
        <v>1.5</v>
      </c>
      <c r="L21" s="6" t="n">
        <v>5</v>
      </c>
      <c r="M21" s="6" t="n">
        <v>2.5</v>
      </c>
      <c r="N21" s="6" t="n">
        <f aca="false">SUMPRODUCT(기준!$B$3:$L$3,C21:M21)*20</f>
        <v>58.5</v>
      </c>
      <c r="O21" s="7" t="n">
        <f aca="false">MIN(N21,L21*20)</f>
        <v>58.5</v>
      </c>
      <c r="P21" s="6" t="n">
        <f aca="false">SUMPRODUCT(기준!$B$4:$L$4,C21:M21)*20</f>
        <v>53.5</v>
      </c>
      <c r="Q21" s="7" t="n">
        <f aca="false">MIN(P21,L21*20)</f>
        <v>53.5</v>
      </c>
      <c r="R21" s="8" t="str">
        <f aca="false">IF(O21&gt;=80,"즉시 착수",IF(O21&gt;=60,"조건부 착수",IF(O21&gt;=40,"보조도구","회피")))</f>
        <v>보조도구</v>
      </c>
      <c r="S21" s="8" t="str">
        <f aca="false">IF(Q21&gt;=80,"즉시 착수",IF(Q21&gt;=60,"조건부 착수",IF(Q21&gt;=40,"보조도구","회피")))</f>
        <v>보조도구</v>
      </c>
      <c r="T21" s="8" t="str">
        <f aca="false">IF(COUNTIF(C21:M21,1)&gt;0,"⚠1점축","")</f>
        <v/>
      </c>
      <c r="U21" s="9" t="s">
        <v>64</v>
      </c>
    </row>
    <row r="22" customFormat="false" ht="15" hidden="false" customHeight="true" outlineLevel="0" collapsed="false">
      <c r="A22" s="4" t="s">
        <v>31</v>
      </c>
      <c r="B22" s="5" t="s">
        <v>65</v>
      </c>
      <c r="C22" s="6" t="n">
        <v>4</v>
      </c>
      <c r="D22" s="6" t="n">
        <v>4.5</v>
      </c>
      <c r="E22" s="6" t="n">
        <v>3</v>
      </c>
      <c r="F22" s="6" t="n">
        <v>3</v>
      </c>
      <c r="G22" s="6" t="n">
        <v>2.5</v>
      </c>
      <c r="H22" s="6" t="n">
        <v>3.5</v>
      </c>
      <c r="I22" s="6" t="n">
        <v>2.5</v>
      </c>
      <c r="J22" s="6" t="n">
        <v>3</v>
      </c>
      <c r="K22" s="6" t="n">
        <v>1.5</v>
      </c>
      <c r="L22" s="6" t="n">
        <v>5</v>
      </c>
      <c r="M22" s="6" t="n">
        <v>2</v>
      </c>
      <c r="N22" s="6" t="n">
        <f aca="false">SUMPRODUCT(기준!$B$3:$L$3,C22:M22)*20</f>
        <v>61</v>
      </c>
      <c r="O22" s="7" t="n">
        <f aca="false">MIN(N22,L22*20)</f>
        <v>61</v>
      </c>
      <c r="P22" s="6" t="n">
        <f aca="false">SUMPRODUCT(기준!$B$4:$L$4,C22:M22)*20</f>
        <v>53.75</v>
      </c>
      <c r="Q22" s="7" t="n">
        <f aca="false">MIN(P22,L22*20)</f>
        <v>53.75</v>
      </c>
      <c r="R22" s="8" t="str">
        <f aca="false">IF(O22&gt;=80,"즉시 착수",IF(O22&gt;=60,"조건부 착수",IF(O22&gt;=40,"보조도구","회피")))</f>
        <v>조건부 착수</v>
      </c>
      <c r="S22" s="8" t="str">
        <f aca="false">IF(Q22&gt;=80,"즉시 착수",IF(Q22&gt;=60,"조건부 착수",IF(Q22&gt;=40,"보조도구","회피")))</f>
        <v>보조도구</v>
      </c>
      <c r="T22" s="8" t="str">
        <f aca="false">IF(COUNTIF(C22:M22,1)&gt;0,"⚠1점축","")</f>
        <v/>
      </c>
      <c r="U22" s="9" t="s">
        <v>66</v>
      </c>
    </row>
    <row r="23" customFormat="false" ht="15" hidden="false" customHeight="true" outlineLevel="0" collapsed="false">
      <c r="A23" s="4" t="s">
        <v>31</v>
      </c>
      <c r="B23" s="5" t="s">
        <v>67</v>
      </c>
      <c r="C23" s="6" t="n">
        <v>3.5</v>
      </c>
      <c r="D23" s="6" t="n">
        <v>3</v>
      </c>
      <c r="E23" s="6" t="n">
        <v>2.5</v>
      </c>
      <c r="F23" s="6" t="n">
        <v>3</v>
      </c>
      <c r="G23" s="6" t="n">
        <v>2</v>
      </c>
      <c r="H23" s="6" t="n">
        <v>3.5</v>
      </c>
      <c r="I23" s="6" t="n">
        <v>2.5</v>
      </c>
      <c r="J23" s="6" t="n">
        <v>4</v>
      </c>
      <c r="K23" s="6" t="n">
        <v>2.5</v>
      </c>
      <c r="L23" s="6" t="n">
        <v>4.5</v>
      </c>
      <c r="M23" s="6" t="n">
        <v>2.5</v>
      </c>
      <c r="N23" s="6" t="n">
        <f aca="false">SUMPRODUCT(기준!$B$3:$L$3,C23:M23)*20</f>
        <v>56.75</v>
      </c>
      <c r="O23" s="7" t="n">
        <f aca="false">MIN(N23,L23*20)</f>
        <v>56.75</v>
      </c>
      <c r="P23" s="6" t="n">
        <f aca="false">SUMPRODUCT(기준!$B$4:$L$4,C23:M23)*20</f>
        <v>57</v>
      </c>
      <c r="Q23" s="7" t="n">
        <f aca="false">MIN(P23,L23*20)</f>
        <v>57</v>
      </c>
      <c r="R23" s="8" t="str">
        <f aca="false">IF(O23&gt;=80,"즉시 착수",IF(O23&gt;=60,"조건부 착수",IF(O23&gt;=40,"보조도구","회피")))</f>
        <v>보조도구</v>
      </c>
      <c r="S23" s="8" t="str">
        <f aca="false">IF(Q23&gt;=80,"즉시 착수",IF(Q23&gt;=60,"조건부 착수",IF(Q23&gt;=40,"보조도구","회피")))</f>
        <v>보조도구</v>
      </c>
      <c r="T23" s="8" t="str">
        <f aca="false">IF(COUNTIF(C23:M23,1)&gt;0,"⚠1점축","")</f>
        <v/>
      </c>
      <c r="U23" s="9" t="s">
        <v>68</v>
      </c>
    </row>
    <row r="24" customFormat="false" ht="15" hidden="false" customHeight="true" outlineLevel="0" collapsed="false">
      <c r="A24" s="4" t="s">
        <v>31</v>
      </c>
      <c r="B24" s="5" t="s">
        <v>69</v>
      </c>
      <c r="C24" s="6" t="n">
        <v>3.5</v>
      </c>
      <c r="D24" s="6" t="n">
        <v>4.5</v>
      </c>
      <c r="E24" s="6" t="n">
        <v>2.5</v>
      </c>
      <c r="F24" s="6" t="n">
        <v>2.5</v>
      </c>
      <c r="G24" s="6" t="n">
        <v>2.5</v>
      </c>
      <c r="H24" s="6" t="n">
        <v>3.5</v>
      </c>
      <c r="I24" s="6" t="n">
        <v>2.5</v>
      </c>
      <c r="J24" s="6" t="n">
        <v>2</v>
      </c>
      <c r="K24" s="6" t="n">
        <v>2</v>
      </c>
      <c r="L24" s="6" t="n">
        <v>5</v>
      </c>
      <c r="M24" s="6" t="n">
        <v>2</v>
      </c>
      <c r="N24" s="6" t="n">
        <f aca="false">SUMPRODUCT(기준!$B$3:$L$3,C24:M24)*20</f>
        <v>55.75</v>
      </c>
      <c r="O24" s="7" t="n">
        <f aca="false">MIN(N24,L24*20)</f>
        <v>55.75</v>
      </c>
      <c r="P24" s="6" t="n">
        <f aca="false">SUMPRODUCT(기준!$B$4:$L$4,C24:M24)*20</f>
        <v>51</v>
      </c>
      <c r="Q24" s="7" t="n">
        <f aca="false">MIN(P24,L24*20)</f>
        <v>51</v>
      </c>
      <c r="R24" s="8" t="str">
        <f aca="false">IF(O24&gt;=80,"즉시 착수",IF(O24&gt;=60,"조건부 착수",IF(O24&gt;=40,"보조도구","회피")))</f>
        <v>보조도구</v>
      </c>
      <c r="S24" s="8" t="str">
        <f aca="false">IF(Q24&gt;=80,"즉시 착수",IF(Q24&gt;=60,"조건부 착수",IF(Q24&gt;=40,"보조도구","회피")))</f>
        <v>보조도구</v>
      </c>
      <c r="T24" s="8" t="str">
        <f aca="false">IF(COUNTIF(C24:M24,1)&gt;0,"⚠1점축","")</f>
        <v/>
      </c>
      <c r="U24" s="9" t="s">
        <v>70</v>
      </c>
    </row>
    <row r="25" customFormat="false" ht="15" hidden="false" customHeight="true" outlineLevel="0" collapsed="false">
      <c r="A25" s="4" t="s">
        <v>46</v>
      </c>
      <c r="B25" s="11" t="s">
        <v>71</v>
      </c>
      <c r="C25" s="6" t="n">
        <v>4</v>
      </c>
      <c r="D25" s="6" t="n">
        <v>3</v>
      </c>
      <c r="E25" s="6" t="n">
        <v>3.5</v>
      </c>
      <c r="F25" s="6" t="n">
        <v>3</v>
      </c>
      <c r="G25" s="6" t="n">
        <v>4.5</v>
      </c>
      <c r="H25" s="6" t="n">
        <v>2.5</v>
      </c>
      <c r="I25" s="6" t="n">
        <v>2</v>
      </c>
      <c r="J25" s="6" t="n">
        <v>1.5</v>
      </c>
      <c r="K25" s="6" t="n">
        <v>2</v>
      </c>
      <c r="L25" s="6" t="n">
        <v>3</v>
      </c>
      <c r="M25" s="6" t="n">
        <v>1.5</v>
      </c>
      <c r="N25" s="6" t="n">
        <f aca="false">SUMPRODUCT(기준!$B$3:$L$3,C25:M25)*20</f>
        <v>61.5</v>
      </c>
      <c r="O25" s="7" t="n">
        <f aca="false">MIN(N25,L25*20)</f>
        <v>60</v>
      </c>
      <c r="P25" s="6" t="n">
        <f aca="false">SUMPRODUCT(기준!$B$4:$L$4,C25:M25)*20</f>
        <v>49.25</v>
      </c>
      <c r="Q25" s="7" t="n">
        <f aca="false">MIN(P25,L25*20)</f>
        <v>49.25</v>
      </c>
      <c r="R25" s="8" t="str">
        <f aca="false">IF(O25&gt;=80,"즉시 착수",IF(O25&gt;=60,"조건부 착수",IF(O25&gt;=40,"보조도구","회피")))</f>
        <v>조건부 착수</v>
      </c>
      <c r="S25" s="8" t="str">
        <f aca="false">IF(Q25&gt;=80,"즉시 착수",IF(Q25&gt;=60,"조건부 착수",IF(Q25&gt;=40,"보조도구","회피")))</f>
        <v>보조도구</v>
      </c>
      <c r="T25" s="8" t="str">
        <f aca="false">IF(COUNTIF(C25:M25,1)&gt;0,"⚠1점축","")</f>
        <v/>
      </c>
      <c r="U25" s="9" t="s">
        <v>72</v>
      </c>
    </row>
    <row r="26" customFormat="false" ht="26.25" hidden="false" customHeight="true" outlineLevel="0" collapsed="false">
      <c r="A26" s="4" t="s">
        <v>21</v>
      </c>
      <c r="B26" s="5" t="s">
        <v>73</v>
      </c>
      <c r="C26" s="6" t="n">
        <v>5</v>
      </c>
      <c r="D26" s="6" t="n">
        <v>5</v>
      </c>
      <c r="E26" s="6" t="n">
        <v>4</v>
      </c>
      <c r="F26" s="6" t="n">
        <v>3.5</v>
      </c>
      <c r="G26" s="6" t="n">
        <v>5</v>
      </c>
      <c r="H26" s="6" t="n">
        <v>4</v>
      </c>
      <c r="I26" s="6" t="n">
        <v>2</v>
      </c>
      <c r="J26" s="6" t="n">
        <v>1</v>
      </c>
      <c r="K26" s="6" t="n">
        <v>3</v>
      </c>
      <c r="L26" s="6" t="n">
        <v>2.5</v>
      </c>
      <c r="M26" s="6" t="n">
        <v>2</v>
      </c>
      <c r="N26" s="6" t="n">
        <f aca="false">SUMPRODUCT(기준!$B$3:$L$3,C26:M26)*20</f>
        <v>74.5</v>
      </c>
      <c r="O26" s="7" t="n">
        <f aca="false">MIN(N26,L26*20)</f>
        <v>50</v>
      </c>
      <c r="P26" s="6" t="n">
        <f aca="false">SUMPRODUCT(기준!$B$4:$L$4,C26:M26)*20</f>
        <v>61.75</v>
      </c>
      <c r="Q26" s="7" t="n">
        <f aca="false">MIN(P26,L26*20)</f>
        <v>50</v>
      </c>
      <c r="R26" s="8" t="str">
        <f aca="false">IF(O26&gt;=80,"즉시 착수",IF(O26&gt;=60,"조건부 착수",IF(O26&gt;=40,"보조도구","회피")))</f>
        <v>보조도구</v>
      </c>
      <c r="S26" s="8" t="str">
        <f aca="false">IF(Q26&gt;=80,"즉시 착수",IF(Q26&gt;=60,"조건부 착수",IF(Q26&gt;=40,"보조도구","회피")))</f>
        <v>보조도구</v>
      </c>
      <c r="T26" s="8" t="str">
        <f aca="false">IF(COUNTIF(C26:M26,1)&gt;0,"⚠1점축","")</f>
        <v>⚠1점축</v>
      </c>
      <c r="U26" s="9" t="s">
        <v>74</v>
      </c>
    </row>
    <row r="27" customFormat="false" ht="15" hidden="false" customHeight="true" outlineLevel="0" collapsed="false">
      <c r="A27" s="4" t="s">
        <v>21</v>
      </c>
      <c r="B27" s="5" t="s">
        <v>75</v>
      </c>
      <c r="C27" s="6" t="n">
        <v>3.5</v>
      </c>
      <c r="D27" s="6" t="n">
        <v>3.5</v>
      </c>
      <c r="E27" s="6" t="n">
        <v>3</v>
      </c>
      <c r="F27" s="6" t="n">
        <v>3.5</v>
      </c>
      <c r="G27" s="6" t="n">
        <v>5</v>
      </c>
      <c r="H27" s="6" t="n">
        <v>3</v>
      </c>
      <c r="I27" s="6" t="n">
        <v>2</v>
      </c>
      <c r="J27" s="6" t="n">
        <v>3</v>
      </c>
      <c r="K27" s="6" t="n">
        <v>2.5</v>
      </c>
      <c r="L27" s="6" t="n">
        <v>2.5</v>
      </c>
      <c r="M27" s="6" t="n">
        <v>3</v>
      </c>
      <c r="N27" s="6" t="n">
        <f aca="false">SUMPRODUCT(기준!$B$3:$L$3,C27:M27)*20</f>
        <v>64</v>
      </c>
      <c r="O27" s="7" t="n">
        <f aca="false">MIN(N27,L27*20)</f>
        <v>50</v>
      </c>
      <c r="P27" s="6" t="n">
        <f aca="false">SUMPRODUCT(기준!$B$4:$L$4,C27:M27)*20</f>
        <v>62.25</v>
      </c>
      <c r="Q27" s="7" t="n">
        <f aca="false">MIN(P27,L27*20)</f>
        <v>50</v>
      </c>
      <c r="R27" s="8" t="str">
        <f aca="false">IF(O27&gt;=80,"즉시 착수",IF(O27&gt;=60,"조건부 착수",IF(O27&gt;=40,"보조도구","회피")))</f>
        <v>보조도구</v>
      </c>
      <c r="S27" s="8" t="str">
        <f aca="false">IF(Q27&gt;=80,"즉시 착수",IF(Q27&gt;=60,"조건부 착수",IF(Q27&gt;=40,"보조도구","회피")))</f>
        <v>보조도구</v>
      </c>
      <c r="T27" s="8" t="str">
        <f aca="false">IF(COUNTIF(C27:M27,1)&gt;0,"⚠1점축","")</f>
        <v/>
      </c>
      <c r="U27" s="9" t="s">
        <v>76</v>
      </c>
    </row>
    <row r="28" customFormat="false" ht="15" hidden="false" customHeight="true" outlineLevel="0" collapsed="false">
      <c r="A28" s="4" t="s">
        <v>21</v>
      </c>
      <c r="B28" s="5" t="s">
        <v>77</v>
      </c>
      <c r="C28" s="6" t="n">
        <v>3.5</v>
      </c>
      <c r="D28" s="6" t="n">
        <v>3</v>
      </c>
      <c r="E28" s="6" t="n">
        <v>3</v>
      </c>
      <c r="F28" s="6" t="n">
        <v>3</v>
      </c>
      <c r="G28" s="6" t="n">
        <v>5</v>
      </c>
      <c r="H28" s="6" t="n">
        <v>3.5</v>
      </c>
      <c r="I28" s="6" t="n">
        <v>2</v>
      </c>
      <c r="J28" s="6" t="n">
        <v>2.5</v>
      </c>
      <c r="K28" s="6" t="n">
        <v>2</v>
      </c>
      <c r="L28" s="6" t="n">
        <v>2.5</v>
      </c>
      <c r="M28" s="6" t="n">
        <v>1.5</v>
      </c>
      <c r="N28" s="6" t="n">
        <f aca="false">SUMPRODUCT(기준!$B$3:$L$3,C28:M28)*20</f>
        <v>61</v>
      </c>
      <c r="O28" s="7" t="n">
        <f aca="false">MIN(N28,L28*20)</f>
        <v>50</v>
      </c>
      <c r="P28" s="6" t="n">
        <f aca="false">SUMPRODUCT(기준!$B$4:$L$4,C28:M28)*20</f>
        <v>53.75</v>
      </c>
      <c r="Q28" s="7" t="n">
        <f aca="false">MIN(P28,L28*20)</f>
        <v>50</v>
      </c>
      <c r="R28" s="8" t="str">
        <f aca="false">IF(O28&gt;=80,"즉시 착수",IF(O28&gt;=60,"조건부 착수",IF(O28&gt;=40,"보조도구","회피")))</f>
        <v>보조도구</v>
      </c>
      <c r="S28" s="8" t="str">
        <f aca="false">IF(Q28&gt;=80,"즉시 착수",IF(Q28&gt;=60,"조건부 착수",IF(Q28&gt;=40,"보조도구","회피")))</f>
        <v>보조도구</v>
      </c>
      <c r="T28" s="8" t="str">
        <f aca="false">IF(COUNTIF(C28:M28,1)&gt;0,"⚠1점축","")</f>
        <v/>
      </c>
      <c r="U28" s="9" t="s">
        <v>78</v>
      </c>
    </row>
    <row r="29" customFormat="false" ht="15" hidden="false" customHeight="true" outlineLevel="0" collapsed="false">
      <c r="A29" s="4" t="s">
        <v>21</v>
      </c>
      <c r="B29" s="5" t="s">
        <v>79</v>
      </c>
      <c r="C29" s="6" t="n">
        <v>4</v>
      </c>
      <c r="D29" s="6" t="n">
        <v>3.5</v>
      </c>
      <c r="E29" s="6" t="n">
        <v>3.5</v>
      </c>
      <c r="F29" s="6" t="n">
        <v>4</v>
      </c>
      <c r="G29" s="6" t="n">
        <v>4.5</v>
      </c>
      <c r="H29" s="6" t="n">
        <v>3</v>
      </c>
      <c r="I29" s="6" t="n">
        <v>2</v>
      </c>
      <c r="J29" s="6" t="n">
        <v>3.5</v>
      </c>
      <c r="K29" s="6" t="n">
        <v>2.5</v>
      </c>
      <c r="L29" s="6" t="n">
        <v>2.5</v>
      </c>
      <c r="M29" s="6" t="n">
        <v>2.5</v>
      </c>
      <c r="N29" s="6" t="n">
        <f aca="false">SUMPRODUCT(기준!$B$3:$L$3,C29:M29)*20</f>
        <v>68.5</v>
      </c>
      <c r="O29" s="7" t="n">
        <f aca="false">MIN(N29,L29*20)</f>
        <v>50</v>
      </c>
      <c r="P29" s="6" t="n">
        <f aca="false">SUMPRODUCT(기준!$B$4:$L$4,C29:M29)*20</f>
        <v>61.5</v>
      </c>
      <c r="Q29" s="7" t="n">
        <f aca="false">MIN(P29,L29*20)</f>
        <v>50</v>
      </c>
      <c r="R29" s="8" t="str">
        <f aca="false">IF(O29&gt;=80,"즉시 착수",IF(O29&gt;=60,"조건부 착수",IF(O29&gt;=40,"보조도구","회피")))</f>
        <v>보조도구</v>
      </c>
      <c r="S29" s="8" t="str">
        <f aca="false">IF(Q29&gt;=80,"즉시 착수",IF(Q29&gt;=60,"조건부 착수",IF(Q29&gt;=40,"보조도구","회피")))</f>
        <v>보조도구</v>
      </c>
      <c r="T29" s="8" t="str">
        <f aca="false">IF(COUNTIF(C29:M29,1)&gt;0,"⚠1점축","")</f>
        <v/>
      </c>
      <c r="U29" s="9" t="s">
        <v>80</v>
      </c>
    </row>
    <row r="30" customFormat="false" ht="15" hidden="false" customHeight="true" outlineLevel="0" collapsed="false">
      <c r="A30" s="4" t="s">
        <v>31</v>
      </c>
      <c r="B30" s="5" t="s">
        <v>81</v>
      </c>
      <c r="C30" s="6" t="n">
        <v>3</v>
      </c>
      <c r="D30" s="6" t="n">
        <v>4.5</v>
      </c>
      <c r="E30" s="6" t="n">
        <v>2</v>
      </c>
      <c r="F30" s="6" t="n">
        <v>2.5</v>
      </c>
      <c r="G30" s="6" t="n">
        <v>2</v>
      </c>
      <c r="H30" s="6" t="n">
        <v>3</v>
      </c>
      <c r="I30" s="6" t="n">
        <v>2.5</v>
      </c>
      <c r="J30" s="6" t="n">
        <v>3</v>
      </c>
      <c r="K30" s="6" t="n">
        <v>2.5</v>
      </c>
      <c r="L30" s="6" t="n">
        <v>5</v>
      </c>
      <c r="M30" s="6" t="n">
        <v>2</v>
      </c>
      <c r="N30" s="6" t="n">
        <f aca="false">SUMPRODUCT(기준!$B$3:$L$3,C30:M30)*20</f>
        <v>52.5</v>
      </c>
      <c r="O30" s="7" t="n">
        <f aca="false">MIN(N30,L30*20)</f>
        <v>52.5</v>
      </c>
      <c r="P30" s="6" t="n">
        <f aca="false">SUMPRODUCT(기준!$B$4:$L$4,C30:M30)*20</f>
        <v>50</v>
      </c>
      <c r="Q30" s="7" t="n">
        <f aca="false">MIN(P30,L30*20)</f>
        <v>50</v>
      </c>
      <c r="R30" s="8" t="str">
        <f aca="false">IF(O30&gt;=80,"즉시 착수",IF(O30&gt;=60,"조건부 착수",IF(O30&gt;=40,"보조도구","회피")))</f>
        <v>보조도구</v>
      </c>
      <c r="S30" s="8" t="str">
        <f aca="false">IF(Q30&gt;=80,"즉시 착수",IF(Q30&gt;=60,"조건부 착수",IF(Q30&gt;=40,"보조도구","회피")))</f>
        <v>보조도구</v>
      </c>
      <c r="T30" s="8" t="str">
        <f aca="false">IF(COUNTIF(C30:M30,1)&gt;0,"⚠1점축","")</f>
        <v/>
      </c>
      <c r="U30" s="10" t="s">
        <v>82</v>
      </c>
    </row>
    <row r="31" customFormat="false" ht="15" hidden="false" customHeight="true" outlineLevel="0" collapsed="false">
      <c r="A31" s="4" t="s">
        <v>31</v>
      </c>
      <c r="B31" s="5" t="s">
        <v>83</v>
      </c>
      <c r="C31" s="6" t="n">
        <v>4</v>
      </c>
      <c r="D31" s="6" t="n">
        <v>5</v>
      </c>
      <c r="E31" s="6" t="n">
        <v>4</v>
      </c>
      <c r="F31" s="6" t="n">
        <v>4</v>
      </c>
      <c r="G31" s="6" t="n">
        <v>1.5</v>
      </c>
      <c r="H31" s="6" t="n">
        <v>2</v>
      </c>
      <c r="I31" s="6" t="n">
        <v>3.5</v>
      </c>
      <c r="J31" s="6" t="n">
        <v>1.5</v>
      </c>
      <c r="K31" s="6" t="n">
        <v>2</v>
      </c>
      <c r="L31" s="6" t="n">
        <v>4</v>
      </c>
      <c r="M31" s="6" t="n">
        <v>1</v>
      </c>
      <c r="N31" s="6" t="n">
        <f aca="false">SUMPRODUCT(기준!$B$3:$L$3,C31:M31)*20</f>
        <v>67.5</v>
      </c>
      <c r="O31" s="7" t="n">
        <f aca="false">MIN(N31,L31*20)</f>
        <v>67.5</v>
      </c>
      <c r="P31" s="6" t="n">
        <f aca="false">SUMPRODUCT(기준!$B$4:$L$4,C31:M31)*20</f>
        <v>44.5</v>
      </c>
      <c r="Q31" s="7" t="n">
        <f aca="false">MIN(P31,L31*20)</f>
        <v>44.5</v>
      </c>
      <c r="R31" s="8" t="str">
        <f aca="false">IF(O31&gt;=80,"즉시 착수",IF(O31&gt;=60,"조건부 착수",IF(O31&gt;=40,"보조도구","회피")))</f>
        <v>조건부 착수</v>
      </c>
      <c r="S31" s="8" t="str">
        <f aca="false">IF(Q31&gt;=80,"즉시 착수",IF(Q31&gt;=60,"조건부 착수",IF(Q31&gt;=40,"보조도구","회피")))</f>
        <v>보조도구</v>
      </c>
      <c r="T31" s="8" t="str">
        <f aca="false">IF(COUNTIF(C31:M31,1)&gt;0,"⚠1점축","")</f>
        <v>⚠1점축</v>
      </c>
      <c r="U31" s="9" t="s">
        <v>84</v>
      </c>
    </row>
    <row r="32" customFormat="false" ht="15" hidden="false" customHeight="true" outlineLevel="0" collapsed="false">
      <c r="A32" s="4" t="s">
        <v>46</v>
      </c>
      <c r="B32" s="5" t="s">
        <v>85</v>
      </c>
      <c r="C32" s="6" t="n">
        <v>3.5</v>
      </c>
      <c r="D32" s="6" t="n">
        <v>3</v>
      </c>
      <c r="E32" s="6" t="n">
        <v>3</v>
      </c>
      <c r="F32" s="6" t="n">
        <v>3</v>
      </c>
      <c r="G32" s="6" t="n">
        <v>3.5</v>
      </c>
      <c r="H32" s="6" t="n">
        <v>2.5</v>
      </c>
      <c r="I32" s="6" t="n">
        <v>2.5</v>
      </c>
      <c r="J32" s="6" t="n">
        <v>2</v>
      </c>
      <c r="K32" s="6" t="n">
        <v>2</v>
      </c>
      <c r="L32" s="6" t="n">
        <v>3.5</v>
      </c>
      <c r="M32" s="6" t="n">
        <v>1.5</v>
      </c>
      <c r="N32" s="6" t="n">
        <f aca="false">SUMPRODUCT(기준!$B$3:$L$3,C32:M32)*20</f>
        <v>58</v>
      </c>
      <c r="O32" s="7" t="n">
        <f aca="false">MIN(N32,L32*20)</f>
        <v>58</v>
      </c>
      <c r="P32" s="6" t="n">
        <f aca="false">SUMPRODUCT(기준!$B$4:$L$4,C32:M32)*20</f>
        <v>47.75</v>
      </c>
      <c r="Q32" s="7" t="n">
        <f aca="false">MIN(P32,L32*20)</f>
        <v>47.75</v>
      </c>
      <c r="R32" s="8" t="str">
        <f aca="false">IF(O32&gt;=80,"즉시 착수",IF(O32&gt;=60,"조건부 착수",IF(O32&gt;=40,"보조도구","회피")))</f>
        <v>보조도구</v>
      </c>
      <c r="S32" s="8" t="str">
        <f aca="false">IF(Q32&gt;=80,"즉시 착수",IF(Q32&gt;=60,"조건부 착수",IF(Q32&gt;=40,"보조도구","회피")))</f>
        <v>보조도구</v>
      </c>
      <c r="T32" s="8" t="str">
        <f aca="false">IF(COUNTIF(C32:M32,1)&gt;0,"⚠1점축","")</f>
        <v/>
      </c>
      <c r="U32" s="9" t="s">
        <v>86</v>
      </c>
    </row>
    <row r="33" customFormat="false" ht="15" hidden="false" customHeight="true" outlineLevel="0" collapsed="false">
      <c r="A33" s="4" t="s">
        <v>46</v>
      </c>
      <c r="B33" s="11" t="s">
        <v>87</v>
      </c>
      <c r="C33" s="6" t="n">
        <v>4</v>
      </c>
      <c r="D33" s="6" t="n">
        <v>3</v>
      </c>
      <c r="E33" s="6" t="n">
        <v>3.5</v>
      </c>
      <c r="F33" s="6" t="n">
        <v>3</v>
      </c>
      <c r="G33" s="6" t="n">
        <v>5</v>
      </c>
      <c r="H33" s="6" t="n">
        <v>4</v>
      </c>
      <c r="I33" s="6" t="n">
        <v>1.5</v>
      </c>
      <c r="J33" s="6" t="n">
        <v>1.5</v>
      </c>
      <c r="K33" s="6" t="n">
        <v>1</v>
      </c>
      <c r="L33" s="6" t="n">
        <v>2.5</v>
      </c>
      <c r="M33" s="6" t="n">
        <v>2.5</v>
      </c>
      <c r="N33" s="6" t="n">
        <f aca="false">SUMPRODUCT(기준!$B$3:$L$3,C33:M33)*20</f>
        <v>61</v>
      </c>
      <c r="O33" s="7" t="n">
        <f aca="false">MIN(N33,L33*20)</f>
        <v>50</v>
      </c>
      <c r="P33" s="6" t="n">
        <f aca="false">SUMPRODUCT(기준!$B$4:$L$4,C33:M33)*20</f>
        <v>56.75</v>
      </c>
      <c r="Q33" s="7" t="n">
        <f aca="false">MIN(P33,L33*20)</f>
        <v>50</v>
      </c>
      <c r="R33" s="8" t="str">
        <f aca="false">IF(O33&gt;=80,"즉시 착수",IF(O33&gt;=60,"조건부 착수",IF(O33&gt;=40,"보조도구","회피")))</f>
        <v>보조도구</v>
      </c>
      <c r="S33" s="8" t="str">
        <f aca="false">IF(Q33&gt;=80,"즉시 착수",IF(Q33&gt;=60,"조건부 착수",IF(Q33&gt;=40,"보조도구","회피")))</f>
        <v>보조도구</v>
      </c>
      <c r="T33" s="8" t="str">
        <f aca="false">IF(COUNTIF(C33:M33,1)&gt;0,"⚠1점축","")</f>
        <v>⚠1점축</v>
      </c>
      <c r="U33" s="9" t="s">
        <v>88</v>
      </c>
    </row>
    <row r="34" customFormat="false" ht="15" hidden="false" customHeight="true" outlineLevel="0" collapsed="false">
      <c r="A34" s="4" t="s">
        <v>21</v>
      </c>
      <c r="B34" s="5" t="s">
        <v>89</v>
      </c>
      <c r="C34" s="6" t="n">
        <v>2.5</v>
      </c>
      <c r="D34" s="6" t="n">
        <v>2</v>
      </c>
      <c r="E34" s="6" t="n">
        <v>2</v>
      </c>
      <c r="F34" s="6" t="n">
        <v>2.5</v>
      </c>
      <c r="G34" s="6" t="n">
        <v>4</v>
      </c>
      <c r="H34" s="6" t="n">
        <v>3</v>
      </c>
      <c r="I34" s="6" t="n">
        <v>2</v>
      </c>
      <c r="J34" s="6" t="n">
        <v>3.5</v>
      </c>
      <c r="K34" s="6" t="n">
        <v>2.5</v>
      </c>
      <c r="L34" s="6" t="n">
        <v>3</v>
      </c>
      <c r="M34" s="6" t="n">
        <v>1.5</v>
      </c>
      <c r="N34" s="6" t="n">
        <f aca="false">SUMPRODUCT(기준!$B$3:$L$3,C34:M34)*20</f>
        <v>50.25</v>
      </c>
      <c r="O34" s="7" t="n">
        <f aca="false">MIN(N34,L34*20)</f>
        <v>50.25</v>
      </c>
      <c r="P34" s="6" t="n">
        <f aca="false">SUMPRODUCT(기준!$B$4:$L$4,C34:M34)*20</f>
        <v>49.5</v>
      </c>
      <c r="Q34" s="7" t="n">
        <f aca="false">MIN(P34,L34*20)</f>
        <v>49.5</v>
      </c>
      <c r="R34" s="8" t="str">
        <f aca="false">IF(O34&gt;=80,"즉시 착수",IF(O34&gt;=60,"조건부 착수",IF(O34&gt;=40,"보조도구","회피")))</f>
        <v>보조도구</v>
      </c>
      <c r="S34" s="8" t="str">
        <f aca="false">IF(Q34&gt;=80,"즉시 착수",IF(Q34&gt;=60,"조건부 착수",IF(Q34&gt;=40,"보조도구","회피")))</f>
        <v>보조도구</v>
      </c>
      <c r="T34" s="8" t="str">
        <f aca="false">IF(COUNTIF(C34:M34,1)&gt;0,"⚠1점축","")</f>
        <v/>
      </c>
      <c r="U34" s="9" t="s">
        <v>90</v>
      </c>
    </row>
    <row r="35" customFormat="false" ht="15" hidden="false" customHeight="true" outlineLevel="0" collapsed="false">
      <c r="A35" s="4" t="s">
        <v>31</v>
      </c>
      <c r="B35" s="5" t="s">
        <v>91</v>
      </c>
      <c r="C35" s="6" t="n">
        <v>4</v>
      </c>
      <c r="D35" s="6" t="n">
        <v>4</v>
      </c>
      <c r="E35" s="6" t="n">
        <v>2.5</v>
      </c>
      <c r="F35" s="6" t="n">
        <v>2.5</v>
      </c>
      <c r="G35" s="6" t="n">
        <v>2.5</v>
      </c>
      <c r="H35" s="6" t="n">
        <v>3</v>
      </c>
      <c r="I35" s="6" t="n">
        <v>2</v>
      </c>
      <c r="J35" s="6" t="n">
        <v>1.5</v>
      </c>
      <c r="K35" s="6" t="n">
        <v>1</v>
      </c>
      <c r="L35" s="6" t="n">
        <v>4.5</v>
      </c>
      <c r="M35" s="6" t="n">
        <v>1.5</v>
      </c>
      <c r="N35" s="6" t="n">
        <f aca="false">SUMPRODUCT(기준!$B$3:$L$3,C35:M35)*20</f>
        <v>52.5</v>
      </c>
      <c r="O35" s="7" t="n">
        <f aca="false">MIN(N35,L35*20)</f>
        <v>52.5</v>
      </c>
      <c r="P35" s="6" t="n">
        <f aca="false">SUMPRODUCT(기준!$B$4:$L$4,C35:M35)*20</f>
        <v>43.5</v>
      </c>
      <c r="Q35" s="7" t="n">
        <f aca="false">MIN(P35,L35*20)</f>
        <v>43.5</v>
      </c>
      <c r="R35" s="8" t="str">
        <f aca="false">IF(O35&gt;=80,"즉시 착수",IF(O35&gt;=60,"조건부 착수",IF(O35&gt;=40,"보조도구","회피")))</f>
        <v>보조도구</v>
      </c>
      <c r="S35" s="8" t="str">
        <f aca="false">IF(Q35&gt;=80,"즉시 착수",IF(Q35&gt;=60,"조건부 착수",IF(Q35&gt;=40,"보조도구","회피")))</f>
        <v>보조도구</v>
      </c>
      <c r="T35" s="8" t="str">
        <f aca="false">IF(COUNTIF(C35:M35,1)&gt;0,"⚠1점축","")</f>
        <v>⚠1점축</v>
      </c>
      <c r="U35" s="9" t="s">
        <v>92</v>
      </c>
    </row>
    <row r="36" customFormat="false" ht="15" hidden="false" customHeight="true" outlineLevel="0" collapsed="false">
      <c r="A36" s="4" t="s">
        <v>21</v>
      </c>
      <c r="B36" s="5" t="s">
        <v>93</v>
      </c>
      <c r="C36" s="6" t="n">
        <v>4.5</v>
      </c>
      <c r="D36" s="6" t="n">
        <v>4</v>
      </c>
      <c r="E36" s="6" t="n">
        <v>4</v>
      </c>
      <c r="F36" s="6" t="n">
        <v>4.5</v>
      </c>
      <c r="G36" s="6" t="n">
        <v>5</v>
      </c>
      <c r="H36" s="6" t="n">
        <v>2</v>
      </c>
      <c r="I36" s="6" t="n">
        <v>2</v>
      </c>
      <c r="J36" s="6" t="n">
        <v>1.5</v>
      </c>
      <c r="K36" s="6" t="n">
        <v>2</v>
      </c>
      <c r="L36" s="6" t="n">
        <v>2</v>
      </c>
      <c r="M36" s="6" t="n">
        <v>2</v>
      </c>
      <c r="N36" s="6" t="n">
        <f aca="false">SUMPRODUCT(기준!$B$3:$L$3,C36:M36)*20</f>
        <v>71.5</v>
      </c>
      <c r="O36" s="7" t="n">
        <f aca="false">MIN(N36,L36*20)</f>
        <v>40</v>
      </c>
      <c r="P36" s="6" t="n">
        <f aca="false">SUMPRODUCT(기준!$B$4:$L$4,C36:M36)*20</f>
        <v>54</v>
      </c>
      <c r="Q36" s="7" t="n">
        <f aca="false">MIN(P36,L36*20)</f>
        <v>40</v>
      </c>
      <c r="R36" s="8" t="str">
        <f aca="false">IF(O36&gt;=80,"즉시 착수",IF(O36&gt;=60,"조건부 착수",IF(O36&gt;=40,"보조도구","회피")))</f>
        <v>보조도구</v>
      </c>
      <c r="S36" s="8" t="str">
        <f aca="false">IF(Q36&gt;=80,"즉시 착수",IF(Q36&gt;=60,"조건부 착수",IF(Q36&gt;=40,"보조도구","회피")))</f>
        <v>보조도구</v>
      </c>
      <c r="T36" s="8" t="str">
        <f aca="false">IF(COUNTIF(C36:M36,1)&gt;0,"⚠1점축","")</f>
        <v/>
      </c>
      <c r="U36" s="10" t="s">
        <v>94</v>
      </c>
    </row>
    <row r="37" customFormat="false" ht="15" hidden="false" customHeight="true" outlineLevel="0" collapsed="false">
      <c r="A37" s="4" t="s">
        <v>21</v>
      </c>
      <c r="B37" s="5" t="s">
        <v>95</v>
      </c>
      <c r="C37" s="6" t="n">
        <v>4.5</v>
      </c>
      <c r="D37" s="6" t="n">
        <v>4</v>
      </c>
      <c r="E37" s="6" t="n">
        <v>3.5</v>
      </c>
      <c r="F37" s="6" t="n">
        <v>3.5</v>
      </c>
      <c r="G37" s="6" t="n">
        <v>5</v>
      </c>
      <c r="H37" s="6" t="n">
        <v>3.5</v>
      </c>
      <c r="I37" s="6" t="n">
        <v>2</v>
      </c>
      <c r="J37" s="6" t="n">
        <v>1</v>
      </c>
      <c r="K37" s="6" t="n">
        <v>2.5</v>
      </c>
      <c r="L37" s="6" t="n">
        <v>2</v>
      </c>
      <c r="M37" s="6" t="n">
        <v>2</v>
      </c>
      <c r="N37" s="6" t="n">
        <f aca="false">SUMPRODUCT(기준!$B$3:$L$3,C37:M37)*20</f>
        <v>68.25</v>
      </c>
      <c r="O37" s="7" t="n">
        <f aca="false">MIN(N37,L37*20)</f>
        <v>40</v>
      </c>
      <c r="P37" s="6" t="n">
        <f aca="false">SUMPRODUCT(기준!$B$4:$L$4,C37:M37)*20</f>
        <v>57.25</v>
      </c>
      <c r="Q37" s="7" t="n">
        <f aca="false">MIN(P37,L37*20)</f>
        <v>40</v>
      </c>
      <c r="R37" s="8" t="str">
        <f aca="false">IF(O37&gt;=80,"즉시 착수",IF(O37&gt;=60,"조건부 착수",IF(O37&gt;=40,"보조도구","회피")))</f>
        <v>보조도구</v>
      </c>
      <c r="S37" s="8" t="str">
        <f aca="false">IF(Q37&gt;=80,"즉시 착수",IF(Q37&gt;=60,"조건부 착수",IF(Q37&gt;=40,"보조도구","회피")))</f>
        <v>보조도구</v>
      </c>
      <c r="T37" s="8" t="str">
        <f aca="false">IF(COUNTIF(C37:M37,1)&gt;0,"⚠1점축","")</f>
        <v>⚠1점축</v>
      </c>
      <c r="U37" s="9" t="s">
        <v>96</v>
      </c>
    </row>
    <row r="38" customFormat="false" ht="15" hidden="false" customHeight="true" outlineLevel="0" collapsed="false">
      <c r="A38" s="4" t="s">
        <v>21</v>
      </c>
      <c r="B38" s="11" t="s">
        <v>97</v>
      </c>
      <c r="C38" s="6" t="n">
        <v>3</v>
      </c>
      <c r="D38" s="6" t="n">
        <v>2.5</v>
      </c>
      <c r="E38" s="6" t="n">
        <v>2</v>
      </c>
      <c r="F38" s="6" t="n">
        <v>2.5</v>
      </c>
      <c r="G38" s="6" t="n">
        <v>4</v>
      </c>
      <c r="H38" s="6" t="n">
        <v>3</v>
      </c>
      <c r="I38" s="6" t="n">
        <v>1.5</v>
      </c>
      <c r="J38" s="6" t="n">
        <v>1.5</v>
      </c>
      <c r="K38" s="6" t="n">
        <v>2</v>
      </c>
      <c r="L38" s="6" t="n">
        <v>2</v>
      </c>
      <c r="M38" s="6" t="n">
        <v>1.5</v>
      </c>
      <c r="N38" s="6" t="n">
        <f aca="false">SUMPRODUCT(기준!$B$3:$L$3,C38:M38)*20</f>
        <v>48.25</v>
      </c>
      <c r="O38" s="7" t="n">
        <f aca="false">MIN(N38,L38*20)</f>
        <v>40</v>
      </c>
      <c r="P38" s="6" t="n">
        <f aca="false">SUMPRODUCT(기준!$B$4:$L$4,C38:M38)*20</f>
        <v>44.5</v>
      </c>
      <c r="Q38" s="7" t="n">
        <f aca="false">MIN(P38,L38*20)</f>
        <v>40</v>
      </c>
      <c r="R38" s="8" t="str">
        <f aca="false">IF(O38&gt;=80,"즉시 착수",IF(O38&gt;=60,"조건부 착수",IF(O38&gt;=40,"보조도구","회피")))</f>
        <v>보조도구</v>
      </c>
      <c r="S38" s="8" t="str">
        <f aca="false">IF(Q38&gt;=80,"즉시 착수",IF(Q38&gt;=60,"조건부 착수",IF(Q38&gt;=40,"보조도구","회피")))</f>
        <v>보조도구</v>
      </c>
      <c r="T38" s="8" t="str">
        <f aca="false">IF(COUNTIF(C38:M38,1)&gt;0,"⚠1점축","")</f>
        <v/>
      </c>
      <c r="U38" s="9" t="s">
        <v>98</v>
      </c>
    </row>
    <row r="39" customFormat="false" ht="15" hidden="false" customHeight="true" outlineLevel="0" collapsed="false">
      <c r="A39" s="4" t="s">
        <v>21</v>
      </c>
      <c r="B39" s="5" t="s">
        <v>99</v>
      </c>
      <c r="C39" s="6" t="n">
        <v>4.5</v>
      </c>
      <c r="D39" s="6" t="n">
        <v>3.5</v>
      </c>
      <c r="E39" s="6" t="n">
        <v>4</v>
      </c>
      <c r="F39" s="6" t="n">
        <v>3.5</v>
      </c>
      <c r="G39" s="6" t="n">
        <v>5</v>
      </c>
      <c r="H39" s="6" t="n">
        <v>3</v>
      </c>
      <c r="I39" s="6" t="n">
        <v>2.5</v>
      </c>
      <c r="J39" s="6" t="n">
        <v>2</v>
      </c>
      <c r="K39" s="6" t="n">
        <v>1.5</v>
      </c>
      <c r="L39" s="6" t="n">
        <v>2</v>
      </c>
      <c r="M39" s="6" t="n">
        <v>1.5</v>
      </c>
      <c r="N39" s="6" t="n">
        <f aca="false">SUMPRODUCT(기준!$B$3:$L$3,C39:M39)*20</f>
        <v>70</v>
      </c>
      <c r="O39" s="7" t="n">
        <f aca="false">MIN(N39,L39*20)</f>
        <v>40</v>
      </c>
      <c r="P39" s="6" t="n">
        <f aca="false">SUMPRODUCT(기준!$B$4:$L$4,C39:M39)*20</f>
        <v>54.75</v>
      </c>
      <c r="Q39" s="7" t="n">
        <f aca="false">MIN(P39,L39*20)</f>
        <v>40</v>
      </c>
      <c r="R39" s="8" t="str">
        <f aca="false">IF(O39&gt;=80,"즉시 착수",IF(O39&gt;=60,"조건부 착수",IF(O39&gt;=40,"보조도구","회피")))</f>
        <v>보조도구</v>
      </c>
      <c r="S39" s="8" t="str">
        <f aca="false">IF(Q39&gt;=80,"즉시 착수",IF(Q39&gt;=60,"조건부 착수",IF(Q39&gt;=40,"보조도구","회피")))</f>
        <v>보조도구</v>
      </c>
      <c r="T39" s="8" t="str">
        <f aca="false">IF(COUNTIF(C39:M39,1)&gt;0,"⚠1점축","")</f>
        <v/>
      </c>
      <c r="U39" s="10" t="s">
        <v>100</v>
      </c>
    </row>
    <row r="40" customFormat="false" ht="15" hidden="false" customHeight="true" outlineLevel="0" collapsed="false">
      <c r="A40" s="4" t="s">
        <v>21</v>
      </c>
      <c r="B40" s="11" t="s">
        <v>101</v>
      </c>
      <c r="C40" s="6" t="n">
        <v>4</v>
      </c>
      <c r="D40" s="6" t="n">
        <v>3.5</v>
      </c>
      <c r="E40" s="6" t="n">
        <v>4</v>
      </c>
      <c r="F40" s="6" t="n">
        <v>3.5</v>
      </c>
      <c r="G40" s="6" t="n">
        <v>5</v>
      </c>
      <c r="H40" s="6" t="n">
        <v>3</v>
      </c>
      <c r="I40" s="6" t="n">
        <v>2</v>
      </c>
      <c r="J40" s="6" t="n">
        <v>2</v>
      </c>
      <c r="K40" s="6" t="n">
        <v>1.5</v>
      </c>
      <c r="L40" s="6" t="n">
        <v>2</v>
      </c>
      <c r="M40" s="6" t="n">
        <v>1.5</v>
      </c>
      <c r="N40" s="6" t="n">
        <f aca="false">SUMPRODUCT(기준!$B$3:$L$3,C40:M40)*20</f>
        <v>67</v>
      </c>
      <c r="O40" s="7" t="n">
        <f aca="false">MIN(N40,L40*20)</f>
        <v>40</v>
      </c>
      <c r="P40" s="6" t="n">
        <f aca="false">SUMPRODUCT(기준!$B$4:$L$4,C40:M40)*20</f>
        <v>53</v>
      </c>
      <c r="Q40" s="7" t="n">
        <f aca="false">MIN(P40,L40*20)</f>
        <v>40</v>
      </c>
      <c r="R40" s="8" t="str">
        <f aca="false">IF(O40&gt;=80,"즉시 착수",IF(O40&gt;=60,"조건부 착수",IF(O40&gt;=40,"보조도구","회피")))</f>
        <v>보조도구</v>
      </c>
      <c r="S40" s="8" t="str">
        <f aca="false">IF(Q40&gt;=80,"즉시 착수",IF(Q40&gt;=60,"조건부 착수",IF(Q40&gt;=40,"보조도구","회피")))</f>
        <v>보조도구</v>
      </c>
      <c r="T40" s="8" t="str">
        <f aca="false">IF(COUNTIF(C40:M40,1)&gt;0,"⚠1점축","")</f>
        <v/>
      </c>
      <c r="U40" s="10" t="s">
        <v>102</v>
      </c>
    </row>
    <row r="41" customFormat="false" ht="15" hidden="false" customHeight="true" outlineLevel="0" collapsed="false">
      <c r="A41" s="4" t="s">
        <v>21</v>
      </c>
      <c r="B41" s="5" t="s">
        <v>103</v>
      </c>
      <c r="C41" s="6" t="n">
        <v>3.5</v>
      </c>
      <c r="D41" s="6" t="n">
        <v>3</v>
      </c>
      <c r="E41" s="6" t="n">
        <v>2.5</v>
      </c>
      <c r="F41" s="6" t="n">
        <v>3</v>
      </c>
      <c r="G41" s="6" t="n">
        <v>4</v>
      </c>
      <c r="H41" s="6" t="n">
        <v>3.5</v>
      </c>
      <c r="I41" s="6" t="n">
        <v>2</v>
      </c>
      <c r="J41" s="6" t="n">
        <v>2</v>
      </c>
      <c r="K41" s="6" t="n">
        <v>2</v>
      </c>
      <c r="L41" s="6" t="n">
        <v>1.5</v>
      </c>
      <c r="M41" s="6" t="n">
        <v>2</v>
      </c>
      <c r="N41" s="6" t="n">
        <f aca="false">SUMPRODUCT(기준!$B$3:$L$3,C41:M41)*20</f>
        <v>56.5</v>
      </c>
      <c r="O41" s="7" t="n">
        <f aca="false">MIN(N41,L41*20)</f>
        <v>30</v>
      </c>
      <c r="P41" s="6" t="n">
        <f aca="false">SUMPRODUCT(기준!$B$4:$L$4,C41:M41)*20</f>
        <v>52.5</v>
      </c>
      <c r="Q41" s="7" t="n">
        <f aca="false">MIN(P41,L41*20)</f>
        <v>30</v>
      </c>
      <c r="R41" s="8" t="str">
        <f aca="false">IF(O41&gt;=80,"즉시 착수",IF(O41&gt;=60,"조건부 착수",IF(O41&gt;=40,"보조도구","회피")))</f>
        <v>회피</v>
      </c>
      <c r="S41" s="8" t="str">
        <f aca="false">IF(Q41&gt;=80,"즉시 착수",IF(Q41&gt;=60,"조건부 착수",IF(Q41&gt;=40,"보조도구","회피")))</f>
        <v>회피</v>
      </c>
      <c r="T41" s="8" t="str">
        <f aca="false">IF(COUNTIF(C41:M41,1)&gt;0,"⚠1점축","")</f>
        <v/>
      </c>
      <c r="U41" s="10" t="s">
        <v>104</v>
      </c>
    </row>
    <row r="42" customFormat="false" ht="258.75" hidden="false" customHeight="true" outlineLevel="0" collapsed="false">
      <c r="A42" s="4" t="s">
        <v>105</v>
      </c>
      <c r="B42" s="5" t="s">
        <v>106</v>
      </c>
      <c r="C42" s="6" t="n">
        <v>5</v>
      </c>
      <c r="D42" s="6" t="n">
        <v>5</v>
      </c>
      <c r="E42" s="6" t="n">
        <v>3</v>
      </c>
      <c r="F42" s="6" t="n">
        <v>3.5</v>
      </c>
      <c r="G42" s="6" t="n">
        <v>5</v>
      </c>
      <c r="H42" s="6" t="n">
        <v>4.5</v>
      </c>
      <c r="I42" s="6" t="n">
        <v>2.5</v>
      </c>
      <c r="J42" s="6" t="n">
        <v>1</v>
      </c>
      <c r="K42" s="6" t="n">
        <v>3</v>
      </c>
      <c r="L42" s="6" t="n">
        <v>2</v>
      </c>
      <c r="M42" s="6" t="n">
        <v>1</v>
      </c>
      <c r="N42" s="6" t="n">
        <f aca="false">SUMPRODUCT(기준!$B$3:$L$3,C42:M42)*20</f>
        <v>72.5</v>
      </c>
      <c r="O42" s="7" t="n">
        <f aca="false">MIN(N42,L42*20)</f>
        <v>40</v>
      </c>
      <c r="P42" s="6" t="n">
        <f aca="false">SUMPRODUCT(기준!$B$4:$L$4,C42:M42)*20</f>
        <v>57.75</v>
      </c>
      <c r="Q42" s="7" t="n">
        <f aca="false">MIN(P42,L42*20)</f>
        <v>40</v>
      </c>
      <c r="R42" s="8" t="str">
        <f aca="false">IF(O42&gt;=80,"즉시 착수",IF(O42&gt;=60,"조건부 착수",IF(O42&gt;=40,"보조도구","회피")))</f>
        <v>보조도구</v>
      </c>
      <c r="S42" s="8" t="str">
        <f aca="false">IF(Q42&gt;=80,"즉시 착수",IF(Q42&gt;=60,"조건부 착수",IF(Q42&gt;=40,"보조도구","회피")))</f>
        <v>보조도구</v>
      </c>
      <c r="T42" s="8" t="str">
        <f aca="false">IF(COUNTIF(C42:M42,1)&gt;0,"⚠1점축","")</f>
        <v>⚠1점축</v>
      </c>
      <c r="U42" s="10" t="s">
        <v>107</v>
      </c>
    </row>
    <row r="43" customFormat="false" ht="227.25" hidden="false" customHeight="true" outlineLevel="0" collapsed="false">
      <c r="A43" s="4" t="s">
        <v>105</v>
      </c>
      <c r="B43" s="5" t="s">
        <v>108</v>
      </c>
      <c r="C43" s="6" t="n">
        <v>5</v>
      </c>
      <c r="D43" s="6" t="n">
        <v>5</v>
      </c>
      <c r="E43" s="6" t="n">
        <v>3.5</v>
      </c>
      <c r="F43" s="6" t="n">
        <v>3.5</v>
      </c>
      <c r="G43" s="6" t="n">
        <v>5</v>
      </c>
      <c r="H43" s="6" t="n">
        <v>5</v>
      </c>
      <c r="I43" s="6" t="n">
        <v>1.5</v>
      </c>
      <c r="J43" s="6" t="n">
        <v>1</v>
      </c>
      <c r="K43" s="6" t="n">
        <v>2</v>
      </c>
      <c r="L43" s="6" t="n">
        <v>2</v>
      </c>
      <c r="M43" s="6" t="n">
        <v>2</v>
      </c>
      <c r="N43" s="6" t="n">
        <f aca="false">SUMPRODUCT(기준!$B$3:$L$3,C43:M43)*20</f>
        <v>70.5</v>
      </c>
      <c r="O43" s="7" t="n">
        <f aca="false">MIN(N43,L43*20)</f>
        <v>40</v>
      </c>
      <c r="P43" s="6" t="n">
        <f aca="false">SUMPRODUCT(기준!$B$4:$L$4,C43:M43)*20</f>
        <v>61</v>
      </c>
      <c r="Q43" s="7" t="n">
        <f aca="false">MIN(P43,L43*20)</f>
        <v>40</v>
      </c>
      <c r="R43" s="8" t="str">
        <f aca="false">IF(O43&gt;=80,"즉시 착수",IF(O43&gt;=60,"조건부 착수",IF(O43&gt;=40,"보조도구","회피")))</f>
        <v>보조도구</v>
      </c>
      <c r="S43" s="8" t="str">
        <f aca="false">IF(Q43&gt;=80,"즉시 착수",IF(Q43&gt;=60,"조건부 착수",IF(Q43&gt;=40,"보조도구","회피")))</f>
        <v>보조도구</v>
      </c>
      <c r="T43" s="8" t="str">
        <f aca="false">IF(COUNTIF(C43:M43,1)&gt;0,"⚠1점축","")</f>
        <v>⚠1점축</v>
      </c>
      <c r="U43" s="10" t="s">
        <v>109</v>
      </c>
    </row>
    <row r="44" customFormat="false" ht="207.75" hidden="false" customHeight="true" outlineLevel="0" collapsed="false">
      <c r="A44" s="4" t="s">
        <v>105</v>
      </c>
      <c r="B44" s="5" t="s">
        <v>110</v>
      </c>
      <c r="C44" s="6" t="n">
        <v>3</v>
      </c>
      <c r="D44" s="6" t="n">
        <v>2</v>
      </c>
      <c r="E44" s="6" t="n">
        <v>2</v>
      </c>
      <c r="F44" s="6" t="n">
        <v>2</v>
      </c>
      <c r="G44" s="6" t="n">
        <v>5</v>
      </c>
      <c r="H44" s="6" t="n">
        <v>4.5</v>
      </c>
      <c r="I44" s="6" t="n">
        <v>2</v>
      </c>
      <c r="J44" s="6" t="n">
        <v>3</v>
      </c>
      <c r="K44" s="6" t="n">
        <v>3</v>
      </c>
      <c r="L44" s="6" t="n">
        <v>4.5</v>
      </c>
      <c r="M44" s="6" t="n">
        <v>2</v>
      </c>
      <c r="N44" s="6" t="n">
        <f aca="false">SUMPRODUCT(기준!$B$3:$L$3,C44:M44)*20</f>
        <v>54</v>
      </c>
      <c r="O44" s="7" t="n">
        <f aca="false">MIN(N44,L44*20)</f>
        <v>54</v>
      </c>
      <c r="P44" s="6" t="n">
        <f aca="false">SUMPRODUCT(기준!$B$4:$L$4,C44:M44)*20</f>
        <v>59</v>
      </c>
      <c r="Q44" s="7" t="n">
        <f aca="false">MIN(P44,L44*20)</f>
        <v>59</v>
      </c>
      <c r="R44" s="8" t="str">
        <f aca="false">IF(O44&gt;=80,"즉시 착수",IF(O44&gt;=60,"조건부 착수",IF(O44&gt;=40,"보조도구","회피")))</f>
        <v>보조도구</v>
      </c>
      <c r="S44" s="8" t="str">
        <f aca="false">IF(Q44&gt;=80,"즉시 착수",IF(Q44&gt;=60,"조건부 착수",IF(Q44&gt;=40,"보조도구","회피")))</f>
        <v>보조도구</v>
      </c>
      <c r="T44" s="8" t="str">
        <f aca="false">IF(COUNTIF(C44:M44,1)&gt;0,"⚠1점축","")</f>
        <v/>
      </c>
      <c r="U44" s="10" t="s">
        <v>111</v>
      </c>
    </row>
    <row r="45" customFormat="false" ht="252.75" hidden="false" customHeight="true" outlineLevel="0" collapsed="false">
      <c r="A45" s="4" t="s">
        <v>105</v>
      </c>
      <c r="B45" s="5" t="s">
        <v>112</v>
      </c>
      <c r="C45" s="6" t="n">
        <v>2.5</v>
      </c>
      <c r="D45" s="6" t="n">
        <v>2</v>
      </c>
      <c r="E45" s="6" t="n">
        <v>2.5</v>
      </c>
      <c r="F45" s="6" t="n">
        <v>2</v>
      </c>
      <c r="G45" s="6" t="n">
        <v>5</v>
      </c>
      <c r="H45" s="6" t="n">
        <v>4.5</v>
      </c>
      <c r="I45" s="6" t="n">
        <v>2</v>
      </c>
      <c r="J45" s="6" t="n">
        <v>3</v>
      </c>
      <c r="K45" s="6" t="n">
        <v>4</v>
      </c>
      <c r="L45" s="6" t="n">
        <v>4.5</v>
      </c>
      <c r="M45" s="6" t="n">
        <v>5</v>
      </c>
      <c r="N45" s="6" t="n">
        <f aca="false">SUMPRODUCT(기준!$B$3:$L$3,C45:M45)*20</f>
        <v>56</v>
      </c>
      <c r="O45" s="7" t="n">
        <f aca="false">MIN(N45,L45*20)</f>
        <v>56</v>
      </c>
      <c r="P45" s="6" t="n">
        <f aca="false">SUMPRODUCT(기준!$B$4:$L$4,C45:M45)*20</f>
        <v>76</v>
      </c>
      <c r="Q45" s="7" t="n">
        <f aca="false">MIN(P45,L45*20)</f>
        <v>76</v>
      </c>
      <c r="R45" s="8" t="str">
        <f aca="false">IF(O45&gt;=80,"즉시 착수",IF(O45&gt;=60,"조건부 착수",IF(O45&gt;=40,"보조도구","회피")))</f>
        <v>보조도구</v>
      </c>
      <c r="S45" s="8" t="str">
        <f aca="false">IF(Q45&gt;=80,"즉시 착수",IF(Q45&gt;=60,"조건부 착수",IF(Q45&gt;=40,"보조도구","회피")))</f>
        <v>조건부 착수</v>
      </c>
      <c r="T45" s="8" t="str">
        <f aca="false">IF(COUNTIF(C45:M45,1)&gt;0,"⚠1점축","")</f>
        <v/>
      </c>
      <c r="U45" s="10" t="s">
        <v>113</v>
      </c>
    </row>
  </sheetData>
  <autoFilter ref="A1:T41"/>
  <conditionalFormatting sqref="C2:L41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N2:N41">
    <cfRule type="colorScale" priority="3">
      <colorScale>
        <cfvo type="num" val="30"/>
        <cfvo type="num" val="55"/>
        <cfvo type="num" val="80"/>
        <color rgb="FFF8696B"/>
        <color rgb="FFFFEB84"/>
        <color rgb="FF63BE7B"/>
      </colorScale>
    </cfRule>
  </conditionalFormatting>
  <conditionalFormatting sqref="P2:P41">
    <cfRule type="colorScale" priority="4">
      <colorScale>
        <cfvo type="num" val="30"/>
        <cfvo type="num" val="55"/>
        <cfvo type="num" val="8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11" min="2" style="1" width="7"/>
  </cols>
  <sheetData>
    <row r="1" customFormat="false" ht="18.75" hidden="false" customHeight="true" outlineLevel="0" collapsed="false">
      <c r="A1" s="12" t="s">
        <v>114</v>
      </c>
    </row>
    <row r="2" customFormat="false" ht="16.5" hidden="false" customHeight="true" outlineLevel="0" collapsed="false"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N2" s="14" t="s">
        <v>115</v>
      </c>
    </row>
    <row r="3" customFormat="false" ht="15" hidden="false" customHeight="true" outlineLevel="0" collapsed="false">
      <c r="A3" s="14" t="s">
        <v>116</v>
      </c>
      <c r="B3" s="15" t="n">
        <v>0.15</v>
      </c>
      <c r="C3" s="15" t="n">
        <v>0.075</v>
      </c>
      <c r="D3" s="15" t="n">
        <v>0.2</v>
      </c>
      <c r="E3" s="15" t="n">
        <v>0.15</v>
      </c>
      <c r="F3" s="15" t="n">
        <v>0.1</v>
      </c>
      <c r="G3" s="15" t="n">
        <v>0.05</v>
      </c>
      <c r="H3" s="15" t="n">
        <v>0.15</v>
      </c>
      <c r="I3" s="15" t="n">
        <v>0.05</v>
      </c>
      <c r="J3" s="15" t="n">
        <v>0.075</v>
      </c>
      <c r="K3" s="15" t="n">
        <v>0</v>
      </c>
      <c r="L3" s="15" t="n">
        <v>0</v>
      </c>
      <c r="N3" s="16" t="n">
        <f aca="false">SUM(B3:L3)</f>
        <v>1</v>
      </c>
    </row>
    <row r="4" customFormat="false" ht="15" hidden="false" customHeight="true" outlineLevel="0" collapsed="false">
      <c r="A4" s="14" t="s">
        <v>117</v>
      </c>
      <c r="B4" s="15" t="n">
        <v>0.075</v>
      </c>
      <c r="C4" s="15" t="n">
        <v>0.025</v>
      </c>
      <c r="D4" s="15" t="n">
        <v>0.075</v>
      </c>
      <c r="E4" s="15" t="n">
        <v>0.025</v>
      </c>
      <c r="F4" s="15" t="n">
        <v>0.1</v>
      </c>
      <c r="G4" s="15" t="n">
        <v>0.15</v>
      </c>
      <c r="H4" s="15" t="n">
        <v>0.1</v>
      </c>
      <c r="I4" s="15" t="n">
        <v>0.1</v>
      </c>
      <c r="J4" s="15" t="n">
        <v>0.1</v>
      </c>
      <c r="K4" s="15" t="n">
        <v>0</v>
      </c>
      <c r="L4" s="15" t="n">
        <v>0.25</v>
      </c>
      <c r="N4" s="16" t="n">
        <f aca="false">SUM(B4:L4)</f>
        <v>1</v>
      </c>
    </row>
    <row r="6" customFormat="false" ht="15" hidden="false" customHeight="true" outlineLevel="0" collapsed="false">
      <c r="A6" s="12" t="s">
        <v>118</v>
      </c>
    </row>
    <row r="7" customFormat="false" ht="16.5" hidden="false" customHeight="true" outlineLevel="0" collapsed="false">
      <c r="A7" s="17" t="s">
        <v>119</v>
      </c>
    </row>
    <row r="8" customFormat="false" ht="16.5" hidden="false" customHeight="true" outlineLevel="0" collapsed="false">
      <c r="A8" s="17" t="s">
        <v>120</v>
      </c>
    </row>
    <row r="9" customFormat="false" ht="16.5" hidden="false" customHeight="true" outlineLevel="0" collapsed="false">
      <c r="A9" s="17" t="s">
        <v>121</v>
      </c>
    </row>
    <row r="10" customFormat="false" ht="16.5" hidden="false" customHeight="true" outlineLevel="0" collapsed="false">
      <c r="A10" s="17" t="s">
        <v>122</v>
      </c>
    </row>
    <row r="11" customFormat="false" ht="16.5" hidden="false" customHeight="true" outlineLevel="0" collapsed="false">
      <c r="A11" s="17" t="s">
        <v>123</v>
      </c>
    </row>
    <row r="12" customFormat="false" ht="16.5" hidden="false" customHeight="true" outlineLevel="0" collapsed="false">
      <c r="A12" s="17" t="s">
        <v>124</v>
      </c>
    </row>
    <row r="13" customFormat="false" ht="16.5" hidden="false" customHeight="true" outlineLevel="0" collapsed="false">
      <c r="A13" s="17" t="s">
        <v>125</v>
      </c>
    </row>
    <row r="14" customFormat="false" ht="16.5" hidden="false" customHeight="true" outlineLevel="0" collapsed="false">
      <c r="A14" s="1" t="s">
        <v>126</v>
      </c>
    </row>
    <row r="15" customFormat="false" ht="16.5" hidden="false" customHeight="true" outlineLevel="0" collapsed="false">
      <c r="A15" s="17" t="s">
        <v>127</v>
      </c>
    </row>
    <row r="16" customFormat="false" ht="16.5" hidden="false" customHeight="true" outlineLevel="0" collapsed="false">
      <c r="A16" s="17" t="s">
        <v>128</v>
      </c>
    </row>
    <row r="17" customFormat="false" ht="16.5" hidden="false" customHeight="true" outlineLevel="0" collapsed="false">
      <c r="A17" s="17" t="s">
        <v>129</v>
      </c>
    </row>
    <row r="18" customFormat="false" ht="15" hidden="false" customHeight="true" outlineLevel="0" collapsed="false"/>
    <row r="19" customFormat="false" ht="15" hidden="false" customHeight="true" outlineLevel="0" collapsed="false">
      <c r="A19" s="18" t="s">
        <v>130</v>
      </c>
    </row>
    <row r="20" customFormat="false" ht="15" hidden="false" customHeight="true" outlineLevel="0" collapsed="false">
      <c r="A20" s="18" t="s">
        <v>131</v>
      </c>
    </row>
    <row r="21" customFormat="false" ht="15" hidden="false" customHeight="true" outlineLevel="0" collapsed="false">
      <c r="A21" s="19" t="s">
        <v>132</v>
      </c>
    </row>
    <row r="22" customFormat="false" ht="15" hidden="false" customHeight="true" outlineLevel="0" collapsed="false">
      <c r="A22" s="18" t="s">
        <v>133</v>
      </c>
    </row>
    <row r="23" customFormat="false" ht="15" hidden="false" customHeight="true" outlineLevel="0" collapsed="false">
      <c r="A23" s="18" t="s">
        <v>134</v>
      </c>
    </row>
    <row r="24" customFormat="false" ht="15" hidden="false" customHeight="true" outlineLevel="0" collapsed="false">
      <c r="A24" s="18" t="s">
        <v>135</v>
      </c>
    </row>
    <row r="25" customFormat="false" ht="16.5" hidden="false" customHeight="true" outlineLevel="0" collapsed="false">
      <c r="A25" s="1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2026-07-11T17:07:06Z</dcterms:created>
  <dc:creator>openpyxl</dc:creator>
  <dc:description/>
  <dc:language>en-US</dc:language>
  <cp:lastModifiedBy/>
  <dcterms:modified xsi:type="dcterms:W3CDTF">2026-07-22T01:12:31Z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