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채점표" sheetId="1" state="visible" r:id="rId3"/>
    <sheet name="기준" sheetId="2" state="visible" r:id="rId4"/>
  </sheets>
  <definedNames>
    <definedName function="false" hidden="true" localSheetId="0" name="_xlnm._FilterDatabase" vbProcedure="false">채점표!$A$1:$T$41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<sst xmlns="http://schemas.openxmlformats.org/spreadsheetml/2006/main" count="171" uniqueCount="125">
  <si>
    <t xml:space="preserve">카테고리</t>
  </si>
  <si>
    <t xml:space="preserve">부업 모델</t>
  </si>
  <si>
    <t xml:space="preserve">A</t>
  </si>
  <si>
    <t xml:space="preserve">I</t>
  </si>
  <si>
    <t xml:space="preserve">P</t>
  </si>
  <si>
    <t xml:space="preserve">Q</t>
  </si>
  <si>
    <t xml:space="preserve">S</t>
  </si>
  <si>
    <t xml:space="preserve">M</t>
  </si>
  <si>
    <t xml:space="preserve">D</t>
  </si>
  <si>
    <t xml:space="preserve">C</t>
  </si>
  <si>
    <t xml:space="preserve">G</t>
  </si>
  <si>
    <t xml:space="preserve">E</t>
  </si>
  <si>
    <t xml:space="preserve">노베이스
원점수</t>
  </si>
  <si>
    <t xml:space="preserve">노베이스
최종</t>
  </si>
  <si>
    <t xml:space="preserve">유베이스
원점수</t>
  </si>
  <si>
    <t xml:space="preserve">유베이스
최종</t>
  </si>
  <si>
    <r>
      <rPr>
        <b val="true"/>
        <sz val="10"/>
        <color rgb="FFFFFFFF"/>
        <rFont val="Noto Sans CJK SC"/>
        <family val="2"/>
      </rPr>
      <t xml:space="preserve">판정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노베이스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</si>
  <si>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판정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유베이스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</si>
  <si>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⚠</t>
  </si>
  <si>
    <r>
      <rPr>
        <b val="true"/>
        <sz val="10"/>
        <color rgb="FFFFFFFF"/>
        <rFont val="Noto Sans CJK SC"/>
        <family val="2"/>
      </rPr>
      <t xml:space="preserve">핵심 리스크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비고</t>
    </r>
  </si>
  <si>
    <r>
      <rPr>
        <sz val="10"/>
        <rFont val="Noto Sans CJK SC"/>
        <family val="2"/>
      </rPr>
      <t xml:space="preserve">콘텐츠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미디어</t>
    </r>
  </si>
  <si>
    <r>
      <rPr>
        <b val="true"/>
        <sz val="10"/>
        <rFont val="Noto Sans CJK SC"/>
        <family val="2"/>
      </rPr>
      <t xml:space="preserve">전자책 크몽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리틀리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국문 노하우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</si>
  <si>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딥리서치 검증 완료 모델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경력 증빙 요구가 오히려 강사에게 해자</t>
    </r>
  </si>
  <si>
    <r>
      <rPr>
        <sz val="10"/>
        <rFont val="Noto Sans CJK SC"/>
        <family val="2"/>
      </rPr>
      <t xml:space="preserve">지식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교육</t>
    </r>
  </si>
  <si>
    <r>
      <rPr>
        <b val="true"/>
        <sz val="10"/>
        <rFont val="Noto Sans CJK SC"/>
        <family val="2"/>
      </rPr>
      <t xml:space="preserve">인프런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크몽 강의 상품화</t>
    </r>
  </si>
  <si>
    <r>
      <rPr>
        <sz val="9"/>
        <rFont val="Noto Sans CJK SC"/>
        <family val="2"/>
      </rPr>
      <t xml:space="preserve">딥리서치 검증 완료 </t>
    </r>
    <r>
      <rPr>
        <sz val="9"/>
        <rFont val="Arial"/>
        <family val="0"/>
        <charset val="1"/>
      </rPr>
      <t xml:space="preserve">71</t>
    </r>
    <r>
      <rPr>
        <sz val="9"/>
        <rFont val="Noto Sans CJK SC"/>
        <family val="2"/>
      </rPr>
      <t xml:space="preserve">점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앞에서 노동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뒤에서 자동 판매</t>
    </r>
  </si>
  <si>
    <r>
      <rPr>
        <b val="true"/>
        <sz val="10"/>
        <rFont val="Noto Sans CJK SC"/>
        <family val="2"/>
      </rPr>
      <t xml:space="preserve">유튜브 교육 채널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얼굴 공개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</si>
  <si>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검증완료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얼굴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본인해설 </t>
    </r>
    <r>
      <rPr>
        <sz val="9"/>
        <rFont val="Arial"/>
        <family val="0"/>
        <charset val="1"/>
      </rPr>
      <t xml:space="preserve">= </t>
    </r>
    <r>
      <rPr>
        <sz val="9"/>
        <rFont val="Noto Sans CJK SC"/>
        <family val="2"/>
      </rPr>
      <t xml:space="preserve">비진정성 정책 공식 면제 확인</t>
    </r>
    <r>
      <rPr>
        <sz val="9"/>
        <rFont val="Arial"/>
        <family val="0"/>
        <charset val="1"/>
      </rPr>
      <t xml:space="preserve">, AI</t>
    </r>
    <r>
      <rPr>
        <sz val="9"/>
        <rFont val="Noto Sans CJK SC"/>
        <family val="2"/>
      </rPr>
      <t xml:space="preserve">슬롭 퇴출의 반사이익 → </t>
    </r>
    <r>
      <rPr>
        <sz val="9"/>
        <rFont val="Arial"/>
        <family val="0"/>
        <charset val="1"/>
      </rPr>
      <t xml:space="preserve">G 4.5. </t>
    </r>
    <r>
      <rPr>
        <sz val="9"/>
        <rFont val="Noto Sans CJK SC"/>
        <family val="2"/>
      </rPr>
      <t xml:space="preserve">교육</t>
    </r>
    <r>
      <rPr>
        <sz val="9"/>
        <rFont val="Arial"/>
        <family val="0"/>
        <charset val="1"/>
      </rPr>
      <t xml:space="preserve">/IT CPM </t>
    </r>
    <r>
      <rPr>
        <sz val="9"/>
        <rFont val="Noto Sans CJK SC"/>
        <family val="2"/>
      </rPr>
      <t xml:space="preserve">최대 </t>
    </r>
    <r>
      <rPr>
        <sz val="9"/>
        <rFont val="Arial"/>
        <family val="0"/>
        <charset val="1"/>
      </rPr>
      <t xml:space="preserve">$36, 2.2</t>
    </r>
    <r>
      <rPr>
        <sz val="9"/>
        <rFont val="Noto Sans CJK SC"/>
        <family val="2"/>
      </rPr>
      <t xml:space="preserve">만 구독→수강생 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천 등 전환 실사례 강력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단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만 구독까지 최대 </t>
    </r>
    <r>
      <rPr>
        <sz val="9"/>
        <rFont val="Arial"/>
        <family val="0"/>
        <charset val="1"/>
      </rPr>
      <t xml:space="preserve">2.5</t>
    </r>
    <r>
      <rPr>
        <sz val="9"/>
        <rFont val="Noto Sans CJK SC"/>
        <family val="2"/>
      </rPr>
      <t xml:space="preserve">년 무수익 계곡</t>
    </r>
  </si>
  <si>
    <r>
      <rPr>
        <b val="true"/>
        <sz val="10"/>
        <rFont val="Arial"/>
        <family val="0"/>
        <charset val="1"/>
      </rPr>
      <t xml:space="preserve">1:1 </t>
    </r>
    <r>
      <rPr>
        <b val="true"/>
        <sz val="10"/>
        <rFont val="Noto Sans CJK SC"/>
        <family val="2"/>
      </rPr>
      <t xml:space="preserve">온라인 코칭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컨설팅</t>
    </r>
  </si>
  <si>
    <r>
      <rPr>
        <sz val="9"/>
        <rFont val="Noto Sans CJK SC"/>
        <family val="2"/>
      </rPr>
      <t xml:space="preserve">시간을 파는 구조라 확장 불가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단가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방어력은 최상급</t>
    </r>
  </si>
  <si>
    <r>
      <rPr>
        <sz val="10"/>
        <rFont val="Noto Sans CJK SC"/>
        <family val="2"/>
      </rPr>
      <t xml:space="preserve">외주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서비스</t>
    </r>
  </si>
  <si>
    <r>
      <rPr>
        <b val="true"/>
        <sz val="10"/>
        <rFont val="Arial"/>
        <family val="0"/>
        <charset val="1"/>
      </rPr>
      <t xml:space="preserve">PPT </t>
    </r>
    <r>
      <rPr>
        <b val="true"/>
        <sz val="10"/>
        <rFont val="Noto Sans CJK SC"/>
        <family val="2"/>
      </rPr>
      <t xml:space="preserve">제작 대행</t>
    </r>
  </si>
  <si>
    <r>
      <rPr>
        <sz val="9"/>
        <rFont val="Noto Sans CJK SC"/>
        <family val="2"/>
      </rPr>
      <t xml:space="preserve">강사 </t>
    </r>
    <r>
      <rPr>
        <sz val="9"/>
        <rFont val="Arial"/>
        <family val="0"/>
        <charset val="1"/>
      </rPr>
      <t xml:space="preserve">= </t>
    </r>
    <r>
      <rPr>
        <sz val="9"/>
        <rFont val="Noto Sans CJK SC"/>
        <family val="2"/>
      </rPr>
      <t xml:space="preserve">슬라이드 설계 전문가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단 </t>
    </r>
    <r>
      <rPr>
        <sz val="9"/>
        <rFont val="Arial"/>
        <family val="0"/>
        <charset val="1"/>
      </rPr>
      <t xml:space="preserve">Gamma </t>
    </r>
    <r>
      <rPr>
        <sz val="9"/>
        <rFont val="Noto Sans CJK SC"/>
        <family val="2"/>
      </rPr>
      <t xml:space="preserve">대중화로 단가 압박</t>
    </r>
  </si>
  <si>
    <r>
      <rPr>
        <b val="true"/>
        <sz val="10"/>
        <rFont val="Noto Sans CJK SC"/>
        <family val="2"/>
      </rPr>
      <t xml:space="preserve">엑셀 템플릿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가계부 판매</t>
    </r>
  </si>
  <si>
    <r>
      <rPr>
        <sz val="9"/>
        <rFont val="Noto Sans CJK SC"/>
        <family val="2"/>
      </rPr>
      <t xml:space="preserve">노션과 유사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실무 도메인 지식이 차별화</t>
    </r>
  </si>
  <si>
    <r>
      <rPr>
        <b val="true"/>
        <sz val="10"/>
        <rFont val="Noto Sans CJK SC"/>
        <family val="2"/>
      </rPr>
      <t xml:space="preserve">유료 스터디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멤버십 커뮤니티</t>
    </r>
  </si>
  <si>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검증완료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객단가 월 </t>
    </r>
    <r>
      <rPr>
        <sz val="9"/>
        <rFont val="Arial"/>
        <family val="0"/>
        <charset val="1"/>
      </rPr>
      <t xml:space="preserve">1~4</t>
    </r>
    <r>
      <rPr>
        <sz val="9"/>
        <rFont val="Noto Sans CJK SC"/>
        <family val="2"/>
      </rPr>
      <t xml:space="preserve">만 성립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독립 결제망 시 수수료 </t>
    </r>
    <r>
      <rPr>
        <sz val="9"/>
        <rFont val="Arial"/>
        <family val="0"/>
        <charset val="1"/>
      </rPr>
      <t xml:space="preserve">8%</t>
    </r>
    <r>
      <rPr>
        <sz val="9"/>
        <rFont val="Noto Sans CJK SC"/>
        <family val="2"/>
      </rPr>
      <t xml:space="preserve">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그러나 환불 규제 가혹</t>
    </r>
    <r>
      <rPr>
        <sz val="9"/>
        <rFont val="Arial"/>
        <family val="0"/>
        <charset val="1"/>
      </rPr>
      <t xml:space="preserve">(7</t>
    </r>
    <r>
      <rPr>
        <sz val="9"/>
        <rFont val="Noto Sans CJK SC"/>
        <family val="2"/>
      </rPr>
      <t xml:space="preserve">일 청약철회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폐강시 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일내 전액환불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공정위 제재 실사례</t>
    </r>
    <r>
      <rPr>
        <sz val="9"/>
        <rFont val="Arial"/>
        <family val="0"/>
        <charset val="1"/>
      </rPr>
      <t xml:space="preserve">) → Q 1.5 </t>
    </r>
    <r>
      <rPr>
        <sz val="9"/>
        <rFont val="Noto Sans CJK SC"/>
        <family val="2"/>
      </rPr>
      <t xml:space="preserve">조건부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이탈률 월 </t>
    </r>
    <r>
      <rPr>
        <sz val="9"/>
        <rFont val="Arial"/>
        <family val="0"/>
        <charset val="1"/>
      </rPr>
      <t xml:space="preserve">3~5%</t>
    </r>
    <r>
      <rPr>
        <sz val="9"/>
        <rFont val="Noto Sans CJK SC"/>
        <family val="2"/>
      </rPr>
      <t xml:space="preserve">가 생사선</t>
    </r>
  </si>
  <si>
    <r>
      <rPr>
        <b val="true"/>
        <sz val="10"/>
        <rFont val="Noto Sans CJK SC"/>
        <family val="2"/>
      </rPr>
      <t xml:space="preserve">이력서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자소서 첨삭</t>
    </r>
  </si>
  <si>
    <r>
      <rPr>
        <sz val="9"/>
        <rFont val="Noto Sans CJK SC"/>
        <family val="2"/>
      </rPr>
      <t xml:space="preserve">강사의 코칭 경험 활용 가능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시즌성 수요</t>
    </r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</si>
  <si>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도입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프롬프트 컨설팅</t>
    </r>
  </si>
  <si>
    <r>
      <rPr>
        <sz val="9"/>
        <rFont val="Noto Sans CJK SC"/>
        <family val="2"/>
      </rPr>
      <t xml:space="preserve">강사는 </t>
    </r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교육형 컨설팅</t>
    </r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으로 전환 유리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완전 노동</t>
    </r>
  </si>
  <si>
    <t xml:space="preserve">노션 템플릿 판매</t>
  </si>
  <si>
    <r>
      <rPr>
        <sz val="9"/>
        <rFont val="Noto Sans CJK SC"/>
        <family val="2"/>
      </rPr>
      <t xml:space="preserve">제작 반자동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마켓 포화 진행 중이나 니치 선점 여지</t>
    </r>
  </si>
  <si>
    <r>
      <rPr>
        <b val="true"/>
        <sz val="10"/>
        <rFont val="Noto Sans CJK SC"/>
        <family val="2"/>
      </rPr>
      <t xml:space="preserve">기업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기관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특강 출강</t>
    </r>
  </si>
  <si>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검증완료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공공 상한 </t>
    </r>
    <r>
      <rPr>
        <sz val="9"/>
        <rFont val="Arial"/>
        <family val="0"/>
        <charset val="1"/>
      </rPr>
      <t xml:space="preserve">10~15</t>
    </r>
    <r>
      <rPr>
        <sz val="9"/>
        <rFont val="Noto Sans CJK SC"/>
        <family val="2"/>
      </rPr>
      <t xml:space="preserve">만</t>
    </r>
    <r>
      <rPr>
        <sz val="9"/>
        <rFont val="Arial"/>
        <family val="0"/>
        <charset val="1"/>
      </rPr>
      <t xml:space="preserve">/h(</t>
    </r>
    <r>
      <rPr>
        <sz val="9"/>
        <rFont val="Noto Sans CJK SC"/>
        <family val="2"/>
      </rPr>
      <t xml:space="preserve">경직</t>
    </r>
    <r>
      <rPr>
        <sz val="9"/>
        <rFont val="Arial"/>
        <family val="0"/>
        <charset val="1"/>
      </rPr>
      <t xml:space="preserve">), </t>
    </r>
    <r>
      <rPr>
        <sz val="9"/>
        <rFont val="Noto Sans CJK SC"/>
        <family val="2"/>
      </rPr>
      <t xml:space="preserve">민간 </t>
    </r>
    <r>
      <rPr>
        <sz val="9"/>
        <rFont val="Arial"/>
        <family val="0"/>
        <charset val="1"/>
      </rPr>
      <t xml:space="preserve">50~150</t>
    </r>
    <r>
      <rPr>
        <sz val="9"/>
        <rFont val="Noto Sans CJK SC"/>
        <family val="2"/>
      </rPr>
      <t xml:space="preserve">만이나 에이전시 </t>
    </r>
    <r>
      <rPr>
        <sz val="9"/>
        <rFont val="Arial"/>
        <family val="0"/>
        <charset val="1"/>
      </rPr>
      <t xml:space="preserve">30% </t>
    </r>
    <r>
      <rPr>
        <sz val="9"/>
        <rFont val="Noto Sans CJK SC"/>
        <family val="2"/>
      </rPr>
      <t xml:space="preserve">착취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국비 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강사 연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만명 양산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시간당 </t>
    </r>
    <r>
      <rPr>
        <sz val="9"/>
        <rFont val="Arial"/>
        <family val="0"/>
        <charset val="1"/>
      </rPr>
      <t xml:space="preserve">8.3</t>
    </r>
    <r>
      <rPr>
        <sz val="9"/>
        <rFont val="Noto Sans CJK SC"/>
        <family val="2"/>
      </rPr>
      <t xml:space="preserve">만 공고</t>
    </r>
    <r>
      <rPr>
        <sz val="9"/>
        <rFont val="Arial"/>
        <family val="0"/>
        <charset val="1"/>
      </rPr>
      <t xml:space="preserve">·VOD 65% </t>
    </r>
    <r>
      <rPr>
        <sz val="9"/>
        <rFont val="Noto Sans CJK SC"/>
        <family val="2"/>
      </rPr>
      <t xml:space="preserve">덤핑 등 단가붕괴 실증 → </t>
    </r>
    <r>
      <rPr>
        <sz val="9"/>
        <rFont val="Arial"/>
        <family val="0"/>
        <charset val="1"/>
      </rPr>
      <t xml:space="preserve">C 2. Zoom 6%</t>
    </r>
    <r>
      <rPr>
        <sz val="9"/>
        <rFont val="Noto Sans CJK SC"/>
        <family val="2"/>
      </rPr>
      <t xml:space="preserve">로 급락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오프라인 회귀로 물리적 한계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수요는 정부예산 </t>
    </r>
    <r>
      <rPr>
        <sz val="9"/>
        <rFont val="Arial"/>
        <family val="0"/>
        <charset val="1"/>
      </rPr>
      <t xml:space="preserve">10.1</t>
    </r>
    <r>
      <rPr>
        <sz val="9"/>
        <rFont val="Noto Sans CJK SC"/>
        <family val="2"/>
      </rPr>
      <t xml:space="preserve">조가 </t>
    </r>
    <r>
      <rPr>
        <sz val="9"/>
        <rFont val="Arial"/>
        <family val="0"/>
        <charset val="1"/>
      </rPr>
      <t xml:space="preserve">2~3</t>
    </r>
    <r>
      <rPr>
        <sz val="9"/>
        <rFont val="Noto Sans CJK SC"/>
        <family val="2"/>
      </rPr>
      <t xml:space="preserve">년 보장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정책 기생형</t>
    </r>
    <r>
      <rPr>
        <sz val="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</si>
  <si>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커머스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기타</t>
    </r>
  </si>
  <si>
    <r>
      <rPr>
        <b val="true"/>
        <sz val="10"/>
        <rFont val="Noto Sans CJK SC"/>
        <family val="2"/>
      </rPr>
      <t xml:space="preserve">데이터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시장 리포트 구독 서비스</t>
    </r>
  </si>
  <si>
    <r>
      <rPr>
        <sz val="9"/>
        <rFont val="Noto Sans CJK SC"/>
        <family val="2"/>
      </rPr>
      <t xml:space="preserve">신뢰 구축 전까지 판매 난망</t>
    </r>
    <r>
      <rPr>
        <sz val="9"/>
        <rFont val="Arial"/>
        <family val="0"/>
        <charset val="1"/>
      </rPr>
      <t xml:space="preserve">. B2B </t>
    </r>
    <r>
      <rPr>
        <sz val="9"/>
        <rFont val="Noto Sans CJK SC"/>
        <family val="2"/>
      </rPr>
      <t xml:space="preserve">전환 시 단가 상승</t>
    </r>
  </si>
  <si>
    <r>
      <rPr>
        <b val="true"/>
        <sz val="10"/>
        <rFont val="Noto Sans CJK SC"/>
        <family val="2"/>
      </rPr>
      <t xml:space="preserve">니치 뉴스레터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유료 구독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</si>
  <si>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검증완료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스티비 수수료 </t>
    </r>
    <r>
      <rPr>
        <sz val="9"/>
        <rFont val="Arial"/>
        <family val="0"/>
        <charset val="1"/>
      </rPr>
      <t xml:space="preserve">3.5%</t>
    </r>
    <r>
      <rPr>
        <sz val="9"/>
        <rFont val="Noto Sans CJK SC"/>
        <family val="2"/>
      </rPr>
      <t xml:space="preserve">로 마진 양호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발행 </t>
    </r>
    <r>
      <rPr>
        <sz val="9"/>
        <rFont val="Arial"/>
        <family val="0"/>
        <charset val="1"/>
      </rPr>
      <t xml:space="preserve">81% </t>
    </r>
    <r>
      <rPr>
        <sz val="9"/>
        <rFont val="Noto Sans CJK SC"/>
        <family val="2"/>
      </rPr>
      <t xml:space="preserve">자동화 실증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그러나 유료전환 </t>
    </r>
    <r>
      <rPr>
        <sz val="9"/>
        <rFont val="Arial"/>
        <family val="0"/>
        <charset val="1"/>
      </rPr>
      <t xml:space="preserve">5~10%, 1</t>
    </r>
    <r>
      <rPr>
        <sz val="9"/>
        <rFont val="Noto Sans CJK SC"/>
        <family val="2"/>
      </rPr>
      <t xml:space="preserve">천명 도달 평균 </t>
    </r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개월</t>
    </r>
    <r>
      <rPr>
        <sz val="9"/>
        <rFont val="Arial"/>
        <family val="0"/>
        <charset val="1"/>
      </rPr>
      <t xml:space="preserve">. AI </t>
    </r>
    <r>
      <rPr>
        <sz val="9"/>
        <rFont val="Noto Sans CJK SC"/>
        <family val="2"/>
      </rPr>
      <t xml:space="preserve">티나면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달만에 해지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스팸규제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망법 과징금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매출 </t>
    </r>
    <r>
      <rPr>
        <sz val="9"/>
        <rFont val="Arial"/>
        <family val="0"/>
        <charset val="1"/>
      </rPr>
      <t xml:space="preserve">6%) </t>
    </r>
    <r>
      <rPr>
        <sz val="9"/>
        <rFont val="Noto Sans CJK SC"/>
        <family val="2"/>
      </rPr>
      <t xml:space="preserve">강화로 </t>
    </r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이메일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안전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통념 반증 → </t>
    </r>
    <r>
      <rPr>
        <sz val="9"/>
        <rFont val="Arial"/>
        <family val="0"/>
        <charset val="1"/>
      </rPr>
      <t xml:space="preserve">G</t>
    </r>
    <r>
      <rPr>
        <sz val="9"/>
        <rFont val="Noto Sans CJK SC"/>
        <family val="2"/>
      </rPr>
      <t xml:space="preserve">캡</t>
    </r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</si>
  <si>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팟캐스트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오디오 콘텐츠</t>
    </r>
  </si>
  <si>
    <r>
      <rPr>
        <sz val="9"/>
        <rFont val="Noto Sans CJK SC"/>
        <family val="2"/>
      </rPr>
      <t xml:space="preserve">국내 팟캐스트 광고 시장 작음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청취자 확보 난망</t>
    </r>
  </si>
  <si>
    <r>
      <rPr>
        <b val="true"/>
        <sz val="10"/>
        <rFont val="Noto Sans CJK SC"/>
        <family val="2"/>
      </rPr>
      <t xml:space="preserve">마이크로 </t>
    </r>
    <r>
      <rPr>
        <b val="true"/>
        <sz val="10"/>
        <rFont val="Arial"/>
        <family val="0"/>
        <charset val="1"/>
      </rPr>
      <t xml:space="preserve">SaaS </t>
    </r>
    <r>
      <rPr>
        <b val="true"/>
        <sz val="10"/>
        <rFont val="Noto Sans CJK SC"/>
        <family val="2"/>
      </rPr>
      <t xml:space="preserve">바이브코딩</t>
    </r>
  </si>
  <si>
    <r>
      <rPr>
        <sz val="9"/>
        <rFont val="Noto Sans CJK SC"/>
        <family val="2"/>
      </rPr>
      <t xml:space="preserve">성공 시 최고 모델이나 </t>
    </r>
    <r>
      <rPr>
        <sz val="9"/>
        <rFont val="Arial"/>
        <family val="0"/>
        <charset val="1"/>
      </rPr>
      <t xml:space="preserve">D(</t>
    </r>
    <r>
      <rPr>
        <sz val="9"/>
        <rFont val="Noto Sans CJK SC"/>
        <family val="2"/>
      </rPr>
      <t xml:space="preserve">고객 획득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가 최악의 병목</t>
    </r>
  </si>
  <si>
    <r>
      <rPr>
        <b val="true"/>
        <sz val="10"/>
        <rFont val="Arial"/>
        <family val="0"/>
        <charset val="1"/>
      </rPr>
      <t xml:space="preserve">B2B </t>
    </r>
    <r>
      <rPr>
        <b val="true"/>
        <sz val="10"/>
        <rFont val="Noto Sans CJK SC"/>
        <family val="2"/>
      </rPr>
      <t xml:space="preserve">챗봇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워크플로우 구축 대행</t>
    </r>
  </si>
  <si>
    <r>
      <rPr>
        <sz val="9"/>
        <rFont val="Noto Sans CJK SC"/>
        <family val="2"/>
      </rPr>
      <t xml:space="preserve">마진 천문학적이나 영업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맞춤 개발 노동 집약 </t>
    </r>
    <r>
      <rPr>
        <sz val="9"/>
        <rFont val="Arial"/>
        <family val="0"/>
        <charset val="1"/>
      </rPr>
      <t xml:space="preserve">(v1 Case D)</t>
    </r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</si>
  <si>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프로필 사진 서비스</t>
    </r>
  </si>
  <si>
    <r>
      <rPr>
        <sz val="9"/>
        <rFont val="Arial"/>
        <family val="0"/>
        <charset val="1"/>
      </rPr>
      <t xml:space="preserve">2023~24 </t>
    </r>
    <r>
      <rPr>
        <sz val="9"/>
        <rFont val="Noto Sans CJK SC"/>
        <family val="2"/>
      </rPr>
      <t xml:space="preserve">유행 정점 지남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앱들이 직접 서비스</t>
    </r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</si>
  <si>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번역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교정 외주</t>
    </r>
  </si>
  <si>
    <r>
      <rPr>
        <sz val="9"/>
        <rFont val="Noto Sans CJK SC"/>
        <family val="2"/>
      </rPr>
      <t xml:space="preserve">원문 제공되어 기획 불요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직납품이라 플랫폼 안전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노베이스 최적</t>
    </r>
  </si>
  <si>
    <r>
      <rPr>
        <b val="true"/>
        <sz val="10"/>
        <rFont val="Noto Sans CJK SC"/>
        <family val="2"/>
      </rPr>
      <t xml:space="preserve">유튜브 자막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번역 납품</t>
    </r>
  </si>
  <si>
    <r>
      <rPr>
        <sz val="9"/>
        <rFont val="Noto Sans CJK SC"/>
        <family val="2"/>
      </rPr>
      <t xml:space="preserve">번역 외주의 영상 특화판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크리에이터 직거래 안정적</t>
    </r>
  </si>
  <si>
    <r>
      <rPr>
        <b val="true"/>
        <sz val="10"/>
        <rFont val="Noto Sans CJK SC"/>
        <family val="2"/>
      </rPr>
      <t xml:space="preserve">블로그 대필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카피라이팅 외주</t>
    </r>
  </si>
  <si>
    <r>
      <rPr>
        <sz val="9"/>
        <rFont val="Noto Sans CJK SC"/>
        <family val="2"/>
      </rPr>
      <t xml:space="preserve">클라이언트도 </t>
    </r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쓸 수 있게 되며 단가 급락 중</t>
    </r>
  </si>
  <si>
    <t xml:space="preserve">썸네일 제작 외주</t>
  </si>
  <si>
    <t xml:space="preserve">단가 낮고 카피캣 즉시 유입</t>
  </si>
  <si>
    <r>
      <rPr>
        <b val="true"/>
        <sz val="10"/>
        <rFont val="Noto Sans CJK SC"/>
        <family val="2"/>
      </rPr>
      <t xml:space="preserve">소상공인 </t>
    </r>
    <r>
      <rPr>
        <b val="true"/>
        <sz val="10"/>
        <rFont val="Arial"/>
        <family val="0"/>
        <charset val="1"/>
      </rPr>
      <t xml:space="preserve">SNS </t>
    </r>
    <r>
      <rPr>
        <b val="true"/>
        <sz val="10"/>
        <rFont val="Noto Sans CJK SC"/>
        <family val="2"/>
      </rPr>
      <t xml:space="preserve">운영 대행</t>
    </r>
  </si>
  <si>
    <r>
      <rPr>
        <sz val="9"/>
        <rFont val="Noto Sans CJK SC"/>
        <family val="2"/>
      </rPr>
      <t xml:space="preserve">콘텐츠는 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고객 관리는 사람이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월 계약 안정성은 장점</t>
    </r>
  </si>
  <si>
    <t xml:space="preserve">상세페이지 제작 대행</t>
  </si>
  <si>
    <t xml:space="preserve">이커머스 수요 꾸준하나 경쟁 치열</t>
  </si>
  <si>
    <r>
      <rPr>
        <b val="true"/>
        <sz val="10"/>
        <rFont val="Arial"/>
        <family val="0"/>
        <charset val="1"/>
      </rPr>
      <t xml:space="preserve">POD </t>
    </r>
    <r>
      <rPr>
        <b val="true"/>
        <sz val="10"/>
        <rFont val="Noto Sans CJK SC"/>
        <family val="2"/>
      </rPr>
      <t xml:space="preserve">굿즈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마플샵</t>
    </r>
    <r>
      <rPr>
        <b val="true"/>
        <sz val="10"/>
        <rFont val="Arial"/>
        <family val="0"/>
        <charset val="1"/>
      </rPr>
      <t xml:space="preserve">·Printify)</t>
    </r>
  </si>
  <si>
    <t xml:space="preserve">디자인 딸깍이나 팔리는 디자인은 별개 문제</t>
  </si>
  <si>
    <r>
      <rPr>
        <b val="true"/>
        <sz val="10"/>
        <rFont val="Noto Sans CJK SC"/>
        <family val="2"/>
      </rPr>
      <t xml:space="preserve">정보성 블로그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애드센스</t>
    </r>
  </si>
  <si>
    <r>
      <rPr>
        <sz val="9"/>
        <rFont val="Noto Sans CJK SC"/>
        <family val="2"/>
      </rPr>
      <t xml:space="preserve">제작은 완전 딸깍이나 구글 알고리즘이 상한</t>
    </r>
    <r>
      <rPr>
        <sz val="9"/>
        <rFont val="Arial"/>
        <family val="0"/>
        <charset val="1"/>
      </rPr>
      <t xml:space="preserve">. SEO </t>
    </r>
    <r>
      <rPr>
        <sz val="9"/>
        <rFont val="Noto Sans CJK SC"/>
        <family val="2"/>
      </rPr>
      <t xml:space="preserve">트래픽 수개월 무수익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현재 진행 중 모델</t>
    </r>
    <r>
      <rPr>
        <sz val="9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</si>
  <si>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유튜브 롱폼 썰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다큐 채널</t>
    </r>
  </si>
  <si>
    <r>
      <rPr>
        <sz val="9"/>
        <rFont val="Noto Sans CJK SC"/>
        <family val="2"/>
      </rPr>
      <t xml:space="preserve">쇼츠보다 </t>
    </r>
    <r>
      <rPr>
        <sz val="9"/>
        <rFont val="Arial"/>
        <family val="0"/>
        <charset val="1"/>
      </rPr>
      <t xml:space="preserve">RPM </t>
    </r>
    <r>
      <rPr>
        <sz val="9"/>
        <rFont val="Noto Sans CJK SC"/>
        <family val="2"/>
      </rPr>
      <t xml:space="preserve">높으나 편당 제작 무겁고 동일 정책 리스크</t>
    </r>
  </si>
  <si>
    <t xml:space="preserve">디지털 플래너 엣시 판매</t>
  </si>
  <si>
    <r>
      <rPr>
        <sz val="9"/>
        <rFont val="Noto Sans CJK SC"/>
        <family val="2"/>
      </rPr>
      <t xml:space="preserve">엣시 </t>
    </r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정책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수수료 인상 이력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영어권 경쟁 포화</t>
    </r>
  </si>
  <si>
    <r>
      <rPr>
        <b val="true"/>
        <sz val="10"/>
        <rFont val="Noto Sans CJK SC"/>
        <family val="2"/>
      </rPr>
      <t xml:space="preserve">인스타 릴스 계정 → 협찬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공구</t>
    </r>
  </si>
  <si>
    <r>
      <rPr>
        <sz val="9"/>
        <rFont val="Noto Sans CJK SC"/>
        <family val="2"/>
      </rPr>
      <t xml:space="preserve">계정 키우기 복불복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릴스 도달 알고리즘 변동 심함</t>
    </r>
  </si>
  <si>
    <r>
      <rPr>
        <b val="true"/>
        <sz val="10"/>
        <rFont val="Noto Sans CJK SC"/>
        <family val="2"/>
      </rPr>
      <t xml:space="preserve">영상 편집 외주 </t>
    </r>
    <r>
      <rPr>
        <b val="true"/>
        <sz val="10"/>
        <rFont val="Arial"/>
        <family val="0"/>
        <charset val="1"/>
      </rPr>
      <t xml:space="preserve">(AI </t>
    </r>
    <r>
      <rPr>
        <b val="true"/>
        <sz val="10"/>
        <rFont val="Noto Sans CJK SC"/>
        <family val="2"/>
      </rPr>
      <t xml:space="preserve">보조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</si>
  <si>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는 컷편집 보조 수준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여전히 시간 갈아넣는 일</t>
    </r>
  </si>
  <si>
    <r>
      <rPr>
        <b val="true"/>
        <sz val="10"/>
        <rFont val="Noto Sans CJK SC"/>
        <family val="2"/>
      </rPr>
      <t xml:space="preserve">데이터 라벨링</t>
    </r>
    <r>
      <rPr>
        <b val="true"/>
        <sz val="10"/>
        <rFont val="Arial"/>
        <family val="0"/>
        <charset val="1"/>
      </rPr>
      <t xml:space="preserve">·AI </t>
    </r>
    <r>
      <rPr>
        <b val="true"/>
        <sz val="10"/>
        <rFont val="Noto Sans CJK SC"/>
        <family val="2"/>
      </rPr>
      <t xml:space="preserve">학습데이터 작업</t>
    </r>
  </si>
  <si>
    <r>
      <rPr>
        <sz val="9"/>
        <rFont val="Noto Sans CJK SC"/>
        <family val="2"/>
      </rPr>
      <t xml:space="preserve">시급제 단순노동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확장 불가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단가 하락 중</t>
    </r>
  </si>
  <si>
    <r>
      <rPr>
        <b val="true"/>
        <sz val="10"/>
        <rFont val="Noto Sans CJK SC"/>
        <family val="2"/>
      </rPr>
      <t xml:space="preserve">스마트스토어 위탁판매 </t>
    </r>
    <r>
      <rPr>
        <b val="true"/>
        <sz val="10"/>
        <rFont val="Arial"/>
        <family val="0"/>
        <charset val="1"/>
      </rPr>
      <t xml:space="preserve">(AI </t>
    </r>
    <r>
      <rPr>
        <b val="true"/>
        <sz val="10"/>
        <rFont val="Noto Sans CJK SC"/>
        <family val="2"/>
      </rPr>
      <t xml:space="preserve">상세페이지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</si>
  <si>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상세페이지만 딸깍</t>
    </r>
    <r>
      <rPr>
        <sz val="9"/>
        <rFont val="Arial"/>
        <family val="0"/>
        <charset val="1"/>
      </rPr>
      <t xml:space="preserve">. CS·</t>
    </r>
    <r>
      <rPr>
        <sz val="9"/>
        <rFont val="Noto Sans CJK SC"/>
        <family val="2"/>
      </rPr>
      <t xml:space="preserve">반품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소싱은 노동</t>
    </r>
  </si>
  <si>
    <r>
      <rPr>
        <b val="true"/>
        <sz val="10"/>
        <rFont val="Arial"/>
        <family val="0"/>
        <charset val="1"/>
      </rPr>
      <t xml:space="preserve">GPTs·</t>
    </r>
    <r>
      <rPr>
        <b val="true"/>
        <sz val="10"/>
        <rFont val="Noto Sans CJK SC"/>
        <family val="2"/>
      </rPr>
      <t xml:space="preserve">프롬프트 템플릿 판매</t>
    </r>
  </si>
  <si>
    <r>
      <rPr>
        <sz val="9"/>
        <rFont val="Noto Sans CJK SC"/>
        <family val="2"/>
      </rPr>
      <t xml:space="preserve">스토어 수익화 불투명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복제 무방비</t>
    </r>
  </si>
  <si>
    <r>
      <rPr>
        <b val="true"/>
        <sz val="10"/>
        <rFont val="Noto Sans CJK SC"/>
        <family val="2"/>
      </rPr>
      <t xml:space="preserve">웹소설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보조 연재</t>
    </r>
  </si>
  <si>
    <r>
      <rPr>
        <sz val="9"/>
        <rFont val="Noto Sans CJK SC"/>
        <family val="2"/>
      </rPr>
      <t xml:space="preserve">연재 플랫폼 </t>
    </r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규정 강화 추세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필력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연독률은 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로 해결 안 됨</t>
    </r>
  </si>
  <si>
    <r>
      <rPr>
        <b val="true"/>
        <sz val="10"/>
        <rFont val="Noto Sans CJK SC"/>
        <family val="2"/>
      </rPr>
      <t xml:space="preserve">로고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디자인 외주 </t>
    </r>
    <r>
      <rPr>
        <b val="true"/>
        <sz val="10"/>
        <rFont val="Arial"/>
        <family val="0"/>
        <charset val="1"/>
      </rPr>
      <t xml:space="preserve">(AI)</t>
    </r>
  </si>
  <si>
    <r>
      <rPr>
        <sz val="9"/>
        <rFont val="Noto Sans CJK SC"/>
        <family val="2"/>
      </rPr>
      <t xml:space="preserve">바닥 경쟁의 대표 사례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시장가 </t>
    </r>
    <r>
      <rPr>
        <sz val="9"/>
        <rFont val="Arial"/>
        <family val="0"/>
        <charset val="1"/>
      </rPr>
      <t xml:space="preserve">0 </t>
    </r>
    <r>
      <rPr>
        <sz val="9"/>
        <rFont val="Noto Sans CJK SC"/>
        <family val="2"/>
      </rPr>
      <t xml:space="preserve">수렴</t>
    </r>
  </si>
  <si>
    <r>
      <rPr>
        <b val="true"/>
        <sz val="10"/>
        <rFont val="Noto Sans CJK SC"/>
        <family val="2"/>
      </rPr>
      <t xml:space="preserve">무명</t>
    </r>
    <r>
      <rPr>
        <b val="true"/>
        <sz val="10"/>
        <rFont val="Arial"/>
        <family val="0"/>
        <charset val="1"/>
      </rPr>
      <t xml:space="preserve">(Faceless) </t>
    </r>
    <r>
      <rPr>
        <b val="true"/>
        <sz val="10"/>
        <rFont val="Noto Sans CJK SC"/>
        <family val="2"/>
      </rPr>
      <t xml:space="preserve">유튜브 쇼츠</t>
    </r>
  </si>
  <si>
    <r>
      <rPr>
        <sz val="9"/>
        <rFont val="Arial"/>
        <family val="0"/>
        <charset val="1"/>
      </rPr>
      <t xml:space="preserve">2025.7 '</t>
    </r>
    <r>
      <rPr>
        <sz val="9"/>
        <rFont val="Noto Sans CJK SC"/>
        <family val="2"/>
      </rPr>
      <t xml:space="preserve">비진정성 콘텐츠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수익화 배제 정책 직격</t>
    </r>
    <r>
      <rPr>
        <sz val="9"/>
        <rFont val="Arial"/>
        <family val="0"/>
        <charset val="1"/>
      </rPr>
      <t xml:space="preserve">. RPM </t>
    </r>
    <r>
      <rPr>
        <sz val="9"/>
        <rFont val="Noto Sans CJK SC"/>
        <family val="2"/>
      </rPr>
      <t xml:space="preserve">극저</t>
    </r>
  </si>
  <si>
    <t xml:space="preserve">쿠팡파트너스 제휴 블로그</t>
  </si>
  <si>
    <r>
      <rPr>
        <sz val="9"/>
        <rFont val="Noto Sans CJK SC"/>
        <family val="2"/>
      </rPr>
      <t xml:space="preserve">구글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쿠팡 이중 플랫폼 의존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저품질 필터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수수료 인하 이력</t>
    </r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</si>
  <si>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그림책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아동서</t>
    </r>
  </si>
  <si>
    <r>
      <rPr>
        <sz val="9"/>
        <rFont val="Noto Sans CJK SC"/>
        <family val="2"/>
      </rPr>
      <t xml:space="preserve">시장 포화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부모의 품질 민감도 높음</t>
    </r>
  </si>
  <si>
    <r>
      <rPr>
        <b val="true"/>
        <sz val="10"/>
        <rFont val="Noto Sans CJK SC"/>
        <family val="2"/>
      </rPr>
      <t xml:space="preserve">스톡 이미지</t>
    </r>
    <r>
      <rPr>
        <b val="true"/>
        <sz val="10"/>
        <rFont val="Arial"/>
        <family val="0"/>
        <charset val="1"/>
      </rPr>
      <t xml:space="preserve">·AI </t>
    </r>
    <r>
      <rPr>
        <b val="true"/>
        <sz val="10"/>
        <rFont val="Noto Sans CJK SC"/>
        <family val="2"/>
      </rPr>
      <t xml:space="preserve">아트 판매</t>
    </r>
  </si>
  <si>
    <r>
      <rPr>
        <sz val="9"/>
        <rFont val="Arial"/>
        <family val="0"/>
        <charset val="1"/>
      </rPr>
      <t xml:space="preserve">Adobe Stock </t>
    </r>
    <r>
      <rPr>
        <sz val="9"/>
        <rFont val="Noto Sans CJK SC"/>
        <family val="2"/>
      </rPr>
      <t xml:space="preserve">등 </t>
    </r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규정 유동적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공급 폭증으로 단가 붕괴 중</t>
    </r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</si>
  <si>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음원</t>
    </r>
    <r>
      <rPr>
        <b val="true"/>
        <sz val="10"/>
        <rFont val="Arial"/>
        <family val="0"/>
        <charset val="1"/>
      </rPr>
      <t xml:space="preserve">·BGM </t>
    </r>
    <r>
      <rPr>
        <b val="true"/>
        <sz val="10"/>
        <rFont val="Noto Sans CJK SC"/>
        <family val="2"/>
      </rPr>
      <t xml:space="preserve">판매</t>
    </r>
  </si>
  <si>
    <r>
      <rPr>
        <sz val="9"/>
        <rFont val="Arial"/>
        <family val="0"/>
        <charset val="1"/>
      </rPr>
      <t xml:space="preserve">Suno </t>
    </r>
    <r>
      <rPr>
        <sz val="9"/>
        <rFont val="Noto Sans CJK SC"/>
        <family val="2"/>
      </rPr>
      <t xml:space="preserve">등 저작권 회색지대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스트리밍 플랫폼 </t>
    </r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필터링 강화</t>
    </r>
  </si>
  <si>
    <r>
      <rPr>
        <b val="true"/>
        <sz val="10"/>
        <rFont val="Noto Sans CJK SC"/>
        <family val="2"/>
      </rPr>
      <t xml:space="preserve">전자책 아마존 </t>
    </r>
    <r>
      <rPr>
        <b val="true"/>
        <sz val="10"/>
        <rFont val="Arial"/>
        <family val="0"/>
        <charset val="1"/>
      </rPr>
      <t xml:space="preserve">KDP (</t>
    </r>
    <r>
      <rPr>
        <b val="true"/>
        <sz val="10"/>
        <rFont val="Noto Sans CJK SC"/>
        <family val="2"/>
      </rPr>
      <t xml:space="preserve">영문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</si>
  <si>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사용 신고 의무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일일 출판 제한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저품질 필터 최전선</t>
    </r>
  </si>
  <si>
    <r>
      <rPr>
        <b val="true"/>
        <sz val="12"/>
        <rFont val="Noto Sans CJK SC"/>
        <family val="2"/>
      </rPr>
      <t xml:space="preserve">가중치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이 셀들을 바꾸면 채점표 점수가 자동 재계산됨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</si>
  <si>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합계</t>
    </r>
    <r>
      <rPr>
        <b val="true"/>
        <sz val="11"/>
        <rFont val="Arial"/>
        <family val="0"/>
        <charset val="1"/>
      </rPr>
      <t xml:space="preserve">(=100%)</t>
    </r>
  </si>
  <si>
    <t xml:space="preserve">노베이스 가중치</t>
  </si>
  <si>
    <t xml:space="preserve">유베이스 가중치</t>
  </si>
  <si>
    <t xml:space="preserve">지표 설명</t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</si>
  <si>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자동화 실행도</t>
    </r>
  </si>
  <si>
    <r>
      <rPr>
        <sz val="11"/>
        <rFont val="Arial"/>
        <family val="0"/>
        <charset val="1"/>
      </rPr>
      <t xml:space="preserve">I </t>
    </r>
    <r>
      <rPr>
        <sz val="11"/>
        <rFont val="Noto Sans CJK SC"/>
        <family val="2"/>
      </rPr>
      <t xml:space="preserve">기획 자동화</t>
    </r>
  </si>
  <si>
    <r>
      <rPr>
        <sz val="11"/>
        <rFont val="Arial"/>
        <family val="0"/>
        <charset val="1"/>
      </rPr>
      <t xml:space="preserve">P </t>
    </r>
    <r>
      <rPr>
        <sz val="11"/>
        <rFont val="Noto Sans CJK SC"/>
        <family val="2"/>
      </rPr>
      <t xml:space="preserve">후처리 용이성</t>
    </r>
  </si>
  <si>
    <r>
      <rPr>
        <sz val="11"/>
        <rFont val="Arial"/>
        <family val="0"/>
        <charset val="1"/>
      </rPr>
      <t xml:space="preserve">Q </t>
    </r>
    <r>
      <rPr>
        <sz val="11"/>
        <rFont val="Noto Sans CJK SC"/>
        <family val="2"/>
      </rPr>
      <t xml:space="preserve">품질 관대성</t>
    </r>
  </si>
  <si>
    <r>
      <rPr>
        <sz val="11"/>
        <rFont val="Arial"/>
        <family val="0"/>
        <charset val="1"/>
      </rPr>
      <t xml:space="preserve">S </t>
    </r>
    <r>
      <rPr>
        <sz val="11"/>
        <rFont val="Noto Sans CJK SC"/>
        <family val="2"/>
      </rPr>
      <t xml:space="preserve">확장성</t>
    </r>
  </si>
  <si>
    <r>
      <rPr>
        <sz val="11"/>
        <rFont val="Arial"/>
        <family val="0"/>
        <charset val="1"/>
      </rPr>
      <t xml:space="preserve">M </t>
    </r>
    <r>
      <rPr>
        <sz val="11"/>
        <rFont val="Noto Sans CJK SC"/>
        <family val="2"/>
      </rPr>
      <t xml:space="preserve">마진율</t>
    </r>
  </si>
  <si>
    <r>
      <rPr>
        <sz val="11"/>
        <rFont val="Arial"/>
        <family val="0"/>
        <charset val="1"/>
      </rPr>
      <t xml:space="preserve">D </t>
    </r>
    <r>
      <rPr>
        <sz val="11"/>
        <rFont val="Noto Sans CJK SC"/>
        <family val="2"/>
      </rPr>
      <t xml:space="preserve">수요 획득</t>
    </r>
  </si>
  <si>
    <r>
      <rPr>
        <sz val="11"/>
        <rFont val="Arial"/>
        <family val="0"/>
        <charset val="1"/>
      </rPr>
      <t xml:space="preserve">C </t>
    </r>
    <r>
      <rPr>
        <sz val="11"/>
        <rFont val="Noto Sans CJK SC"/>
        <family val="2"/>
      </rPr>
      <t xml:space="preserve">경쟁 반감기</t>
    </r>
  </si>
  <si>
    <r>
      <rPr>
        <sz val="11"/>
        <rFont val="Arial"/>
        <family val="0"/>
        <charset val="1"/>
      </rPr>
      <t xml:space="preserve">G </t>
    </r>
    <r>
      <rPr>
        <sz val="11"/>
        <rFont val="Noto Sans CJK SC"/>
        <family val="2"/>
      </rPr>
      <t xml:space="preserve">플랫폼 생존성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게이트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</si>
  <si>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E </t>
    </r>
    <r>
      <rPr>
        <sz val="11"/>
        <rFont val="Noto Sans CJK SC"/>
        <family val="2"/>
      </rPr>
      <t xml:space="preserve">전문성 레버리지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강사</t>
    </r>
    <r>
      <rPr>
        <sz val="11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</si>
  <si>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게이트 규칙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최종점수 </t>
    </r>
    <r>
      <rPr>
        <sz val="10"/>
        <rFont val="Arial"/>
        <family val="0"/>
        <charset val="1"/>
      </rPr>
      <t xml:space="preserve">= MIN(</t>
    </r>
    <r>
      <rPr>
        <sz val="10"/>
        <rFont val="Noto Sans CJK SC"/>
        <family val="2"/>
      </rPr>
      <t xml:space="preserve">원점수</t>
    </r>
    <r>
      <rPr>
        <sz val="10"/>
        <rFont val="Arial"/>
        <family val="0"/>
        <charset val="1"/>
      </rPr>
      <t xml:space="preserve">, G×20). </t>
    </r>
    <r>
      <rPr>
        <sz val="10"/>
        <rFont val="Noto Sans CJK SC"/>
        <family val="2"/>
      </rPr>
      <t xml:space="preserve">플랫폼 생존성이 사업의 상한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</si>
  <si>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: 80+ </t>
    </r>
    <r>
      <rPr>
        <sz val="10"/>
        <rFont val="Noto Sans CJK SC"/>
        <family val="2"/>
      </rPr>
      <t xml:space="preserve">즉시 착수 </t>
    </r>
    <r>
      <rPr>
        <sz val="10"/>
        <rFont val="Arial"/>
        <family val="0"/>
        <charset val="1"/>
      </rPr>
      <t xml:space="preserve">/ 60~79 </t>
    </r>
    <r>
      <rPr>
        <sz val="10"/>
        <rFont val="Noto Sans CJK SC"/>
        <family val="2"/>
      </rPr>
      <t xml:space="preserve">조건부 착수 </t>
    </r>
    <r>
      <rPr>
        <sz val="10"/>
        <rFont val="Arial"/>
        <family val="0"/>
        <charset val="1"/>
      </rPr>
      <t xml:space="preserve">/ 40~59 </t>
    </r>
    <r>
      <rPr>
        <sz val="10"/>
        <rFont val="Noto Sans CJK SC"/>
        <family val="2"/>
      </rPr>
      <t xml:space="preserve">보조도구 수준 </t>
    </r>
    <r>
      <rPr>
        <sz val="10"/>
        <rFont val="Arial"/>
        <family val="0"/>
        <charset val="1"/>
      </rPr>
      <t xml:space="preserve">/ 40 </t>
    </r>
    <r>
      <rPr>
        <sz val="10"/>
        <rFont val="Noto Sans CJK SC"/>
        <family val="2"/>
      </rPr>
      <t xml:space="preserve">미만 회피</t>
    </r>
  </si>
  <si>
    <r>
      <rPr>
        <sz val="10"/>
        <rFont val="Arial"/>
        <family val="0"/>
        <charset val="1"/>
      </rPr>
      <t xml:space="preserve">E(</t>
    </r>
    <r>
      <rPr>
        <sz val="10"/>
        <rFont val="Noto Sans CJK SC"/>
        <family val="2"/>
      </rPr>
      <t xml:space="preserve">전문성 레버리지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강사 경험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보유자 기준으로 채점됨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다른 사람은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열을 다시 채점할 것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</si>
  <si>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신뢰도</t>
    </r>
    <r>
      <rPr>
        <sz val="10"/>
        <rFont val="Arial"/>
        <family val="0"/>
        <charset val="1"/>
      </rPr>
      <t xml:space="preserve">: [</t>
    </r>
    <r>
      <rPr>
        <sz val="10"/>
        <rFont val="Noto Sans CJK SC"/>
        <family val="2"/>
      </rPr>
      <t xml:space="preserve">검증완료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표시 행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딥리서치 증거 기반 채점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나머지 </t>
    </r>
    <r>
      <rPr>
        <sz val="10"/>
        <rFont val="Arial"/>
        <family val="0"/>
        <charset val="1"/>
      </rPr>
      <t xml:space="preserve">= 1</t>
    </r>
    <r>
      <rPr>
        <sz val="10"/>
        <rFont val="Noto Sans CJK SC"/>
        <family val="2"/>
      </rPr>
      <t xml:space="preserve">차 스크리닝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오차 </t>
    </r>
    <r>
      <rPr>
        <sz val="10"/>
        <rFont val="Arial"/>
        <family val="0"/>
        <charset val="1"/>
      </rPr>
      <t xml:space="preserve">±10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</si>
  <si>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상위 후보만 딥리서치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축별 증거 수집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정밀 검증 후 착수 판단할 것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</si>
  <si>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검증 완료</t>
    </r>
    <r>
      <rPr>
        <sz val="10"/>
        <rFont val="Arial"/>
        <family val="0"/>
        <charset val="1"/>
      </rPr>
      <t xml:space="preserve">(2026-07 </t>
    </r>
    <r>
      <rPr>
        <sz val="10"/>
        <rFont val="Noto Sans CJK SC"/>
        <family val="2"/>
      </rPr>
      <t xml:space="preserve">딥리서치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전자책 </t>
    </r>
    <r>
      <rPr>
        <sz val="10"/>
        <rFont val="Arial"/>
        <family val="0"/>
        <charset val="1"/>
      </rPr>
      <t xml:space="preserve">72.5 · </t>
    </r>
    <r>
      <rPr>
        <sz val="10"/>
        <rFont val="Noto Sans CJK SC"/>
        <family val="2"/>
      </rPr>
      <t xml:space="preserve">강의 상품화 </t>
    </r>
    <r>
      <rPr>
        <sz val="10"/>
        <rFont val="Arial"/>
        <family val="0"/>
        <charset val="1"/>
      </rPr>
      <t xml:space="preserve">71 · </t>
    </r>
    <r>
      <rPr>
        <sz val="10"/>
        <rFont val="Noto Sans CJK SC"/>
        <family val="2"/>
      </rPr>
      <t xml:space="preserve">유튜브 교육 </t>
    </r>
    <r>
      <rPr>
        <sz val="10"/>
        <rFont val="Arial"/>
        <family val="0"/>
        <charset val="1"/>
      </rPr>
      <t xml:space="preserve">71 · </t>
    </r>
    <r>
      <rPr>
        <sz val="10"/>
        <rFont val="Noto Sans CJK SC"/>
        <family val="2"/>
      </rPr>
      <t xml:space="preserve">멤버십 </t>
    </r>
    <r>
      <rPr>
        <sz val="10"/>
        <rFont val="Arial"/>
        <family val="0"/>
        <charset val="1"/>
      </rPr>
      <t xml:space="preserve">65.5 · AI </t>
    </r>
    <r>
      <rPr>
        <sz val="10"/>
        <rFont val="Noto Sans CJK SC"/>
        <family val="2"/>
      </rPr>
      <t xml:space="preserve">특강 </t>
    </r>
    <r>
      <rPr>
        <sz val="10"/>
        <rFont val="Arial"/>
        <family val="0"/>
        <charset val="1"/>
      </rPr>
      <t xml:space="preserve">62 · </t>
    </r>
    <r>
      <rPr>
        <sz val="10"/>
        <rFont val="Noto Sans CJK SC"/>
        <family val="2"/>
      </rPr>
      <t xml:space="preserve">뉴스레터 </t>
    </r>
    <r>
      <rPr>
        <sz val="10"/>
        <rFont val="Arial"/>
        <family val="0"/>
        <charset val="1"/>
      </rPr>
      <t xml:space="preserve">60(G</t>
    </r>
    <r>
      <rPr>
        <sz val="10"/>
        <rFont val="Noto Sans CJK SC"/>
        <family val="2"/>
      </rPr>
      <t xml:space="preserve">캡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</si>
</sst>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B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FCC17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12" min="3" style="0" width="5.51"/>
    <col collapsed="false" customWidth="true" hidden="false" outlineLevel="0" max="16" min="13" style="0" width="8.5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52"/>
  </cols>
  <sheetData>
    <row r="1" customFormat="false" ht="42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</row>
    <row r="2" customFormat="false" ht="15" hidden="false" customHeight="false" outlineLevel="0" collapsed="false">
      <c r="A2" s="3" t="s">
        <v>20</v>
      </c>
      <c r="B2" s="4" t="s">
        <v>21</v>
      </c>
      <c r="C2" s="5" t="n">
        <v>3</v>
      </c>
      <c r="D2" s="5" t="n">
        <v>2.5</v>
      </c>
      <c r="E2" s="5" t="n">
        <v>2</v>
      </c>
      <c r="F2" s="5" t="n">
        <v>2</v>
      </c>
      <c r="G2" s="5" t="n">
        <v>4.5</v>
      </c>
      <c r="H2" s="5" t="n">
        <v>4</v>
      </c>
      <c r="I2" s="5" t="n">
        <v>3</v>
      </c>
      <c r="J2" s="5" t="n">
        <v>3</v>
      </c>
      <c r="K2" s="5" t="n">
        <v>4</v>
      </c>
      <c r="L2" s="5" t="n">
        <v>5</v>
      </c>
      <c r="M2" s="5" t="n">
        <f aca="false">SUMPRODUCT(기준!$B$3:$K$3,C2:L2)*20</f>
        <v>56</v>
      </c>
      <c r="N2" s="6" t="n">
        <f aca="false">MIN(M2,K2*20)</f>
        <v>56</v>
      </c>
      <c r="O2" s="5" t="n">
        <f aca="false">SUMPRODUCT(기준!$B$4:$K$4,C2:L2)*20</f>
        <v>72.5</v>
      </c>
      <c r="P2" s="6" t="n">
        <f aca="false">MIN(O2,K2*20)</f>
        <v>72.5</v>
      </c>
      <c r="Q2" s="7" t="str">
        <f aca="false">IF(N2&gt;=80,"즉시 착수",IF(N2&gt;=60,"조건부 착수",IF(N2&gt;=40,"보조도구","회피")))</f>
        <v>보조도구</v>
      </c>
      <c r="R2" s="7" t="str">
        <f aca="false">IF(P2&gt;=80,"즉시 착수",IF(P2&gt;=60,"조건부 착수",IF(P2&gt;=40,"보조도구","회피")))</f>
        <v>조건부 착수</v>
      </c>
      <c r="S2" s="7" t="str">
        <f aca="false">IF(COUNTIF(C2:L2,1)&gt;0,"⚠1점축","")</f>
        <v/>
      </c>
      <c r="T2" s="8" t="s">
        <v>22</v>
      </c>
    </row>
    <row r="3" customFormat="false" ht="15" hidden="false" customHeight="false" outlineLevel="0" collapsed="false">
      <c r="A3" s="3" t="s">
        <v>23</v>
      </c>
      <c r="B3" s="4" t="s">
        <v>24</v>
      </c>
      <c r="C3" s="5" t="n">
        <v>2</v>
      </c>
      <c r="D3" s="5" t="n">
        <v>2</v>
      </c>
      <c r="E3" s="5" t="n">
        <v>2</v>
      </c>
      <c r="F3" s="5" t="n">
        <v>2</v>
      </c>
      <c r="G3" s="5" t="n">
        <v>4.5</v>
      </c>
      <c r="H3" s="5" t="n">
        <v>4</v>
      </c>
      <c r="I3" s="5" t="n">
        <v>3</v>
      </c>
      <c r="J3" s="5" t="n">
        <v>3.5</v>
      </c>
      <c r="K3" s="5" t="n">
        <v>4</v>
      </c>
      <c r="L3" s="5" t="n">
        <v>5</v>
      </c>
      <c r="M3" s="5" t="n">
        <f aca="false">SUMPRODUCT(기준!$B$3:$K$3,C3:L3)*20</f>
        <v>53</v>
      </c>
      <c r="N3" s="6" t="n">
        <f aca="false">MIN(M3,K3*20)</f>
        <v>53</v>
      </c>
      <c r="O3" s="5" t="n">
        <f aca="false">SUMPRODUCT(기준!$B$4:$K$4,C3:L3)*20</f>
        <v>71</v>
      </c>
      <c r="P3" s="6" t="n">
        <f aca="false">MIN(O3,K3*20)</f>
        <v>71</v>
      </c>
      <c r="Q3" s="7" t="str">
        <f aca="false">IF(N3&gt;=80,"즉시 착수",IF(N3&gt;=60,"조건부 착수",IF(N3&gt;=40,"보조도구","회피")))</f>
        <v>보조도구</v>
      </c>
      <c r="R3" s="7" t="str">
        <f aca="false">IF(P3&gt;=80,"즉시 착수",IF(P3&gt;=60,"조건부 착수",IF(P3&gt;=40,"보조도구","회피")))</f>
        <v>조건부 착수</v>
      </c>
      <c r="S3" s="7" t="str">
        <f aca="false">IF(COUNTIF(C3:L3,1)&gt;0,"⚠1점축","")</f>
        <v/>
      </c>
      <c r="T3" s="8" t="s">
        <v>25</v>
      </c>
    </row>
    <row r="4" customFormat="false" ht="39.55" hidden="false" customHeight="false" outlineLevel="0" collapsed="false">
      <c r="A4" s="3" t="s">
        <v>23</v>
      </c>
      <c r="B4" s="4" t="s">
        <v>26</v>
      </c>
      <c r="C4" s="5" t="n">
        <v>2.5</v>
      </c>
      <c r="D4" s="5" t="n">
        <v>2.5</v>
      </c>
      <c r="E4" s="5" t="n">
        <v>2</v>
      </c>
      <c r="F4" s="5" t="n">
        <v>2.5</v>
      </c>
      <c r="G4" s="5" t="n">
        <v>4.5</v>
      </c>
      <c r="H4" s="5" t="n">
        <v>4</v>
      </c>
      <c r="I4" s="5" t="n">
        <v>2</v>
      </c>
      <c r="J4" s="5" t="n">
        <v>3.5</v>
      </c>
      <c r="K4" s="5" t="n">
        <v>4.5</v>
      </c>
      <c r="L4" s="5" t="n">
        <v>5</v>
      </c>
      <c r="M4" s="5" t="n">
        <f aca="false">SUMPRODUCT(기준!$B$3:$K$3,C4:L4)*20</f>
        <v>54</v>
      </c>
      <c r="N4" s="6" t="n">
        <f aca="false">MIN(M4,K4*20)</f>
        <v>54</v>
      </c>
      <c r="O4" s="5" t="n">
        <f aca="false">SUMPRODUCT(기준!$B$4:$K$4,C4:L4)*20</f>
        <v>71</v>
      </c>
      <c r="P4" s="6" t="n">
        <f aca="false">MIN(O4,K4*20)</f>
        <v>71</v>
      </c>
      <c r="Q4" s="7" t="str">
        <f aca="false">IF(N4&gt;=80,"즉시 착수",IF(N4&gt;=60,"조건부 착수",IF(N4&gt;=40,"보조도구","회피")))</f>
        <v>보조도구</v>
      </c>
      <c r="R4" s="7" t="str">
        <f aca="false">IF(P4&gt;=80,"즉시 착수",IF(P4&gt;=60,"조건부 착수",IF(P4&gt;=40,"보조도구","회피")))</f>
        <v>조건부 착수</v>
      </c>
      <c r="S4" s="7" t="str">
        <f aca="false">IF(COUNTIF(C4:L4,1)&gt;0,"⚠1점축","")</f>
        <v/>
      </c>
      <c r="T4" s="9" t="s">
        <v>27</v>
      </c>
    </row>
    <row r="5" customFormat="false" ht="15" hidden="false" customHeight="false" outlineLevel="0" collapsed="false">
      <c r="A5" s="3" t="s">
        <v>23</v>
      </c>
      <c r="B5" s="10" t="s">
        <v>28</v>
      </c>
      <c r="C5" s="5" t="n">
        <v>2</v>
      </c>
      <c r="D5" s="5" t="n">
        <v>2.5</v>
      </c>
      <c r="E5" s="5" t="n">
        <v>2.5</v>
      </c>
      <c r="F5" s="5" t="n">
        <v>2</v>
      </c>
      <c r="G5" s="5" t="n">
        <v>1.5</v>
      </c>
      <c r="H5" s="5" t="n">
        <v>4.5</v>
      </c>
      <c r="I5" s="5" t="n">
        <v>2.5</v>
      </c>
      <c r="J5" s="5" t="n">
        <v>4</v>
      </c>
      <c r="K5" s="5" t="n">
        <v>5</v>
      </c>
      <c r="L5" s="5" t="n">
        <v>5</v>
      </c>
      <c r="M5" s="5" t="n">
        <f aca="false">SUMPRODUCT(기준!$B$3:$K$3,C5:L5)*20</f>
        <v>50</v>
      </c>
      <c r="N5" s="6" t="n">
        <f aca="false">MIN(M5,K5*20)</f>
        <v>50</v>
      </c>
      <c r="O5" s="5" t="n">
        <f aca="false">SUMPRODUCT(기준!$B$4:$K$4,C5:L5)*20</f>
        <v>68</v>
      </c>
      <c r="P5" s="6" t="n">
        <f aca="false">MIN(O5,K5*20)</f>
        <v>68</v>
      </c>
      <c r="Q5" s="7" t="str">
        <f aca="false">IF(N5&gt;=80,"즉시 착수",IF(N5&gt;=60,"조건부 착수",IF(N5&gt;=40,"보조도구","회피")))</f>
        <v>보조도구</v>
      </c>
      <c r="R5" s="7" t="str">
        <f aca="false">IF(P5&gt;=80,"즉시 착수",IF(P5&gt;=60,"조건부 착수",IF(P5&gt;=40,"보조도구","회피")))</f>
        <v>조건부 착수</v>
      </c>
      <c r="S5" s="7" t="str">
        <f aca="false">IF(COUNTIF(C5:L5,1)&gt;0,"⚠1점축","")</f>
        <v/>
      </c>
      <c r="T5" s="8" t="s">
        <v>29</v>
      </c>
    </row>
    <row r="6" customFormat="false" ht="15" hidden="false" customHeight="false" outlineLevel="0" collapsed="false">
      <c r="A6" s="3" t="s">
        <v>30</v>
      </c>
      <c r="B6" s="10" t="s">
        <v>31</v>
      </c>
      <c r="C6" s="5" t="n">
        <v>3.5</v>
      </c>
      <c r="D6" s="5" t="n">
        <v>4.5</v>
      </c>
      <c r="E6" s="5" t="n">
        <v>2.5</v>
      </c>
      <c r="F6" s="5" t="n">
        <v>2.5</v>
      </c>
      <c r="G6" s="5" t="n">
        <v>2.5</v>
      </c>
      <c r="H6" s="5" t="n">
        <v>3.5</v>
      </c>
      <c r="I6" s="5" t="n">
        <v>2.5</v>
      </c>
      <c r="J6" s="5" t="n">
        <v>2</v>
      </c>
      <c r="K6" s="5" t="n">
        <v>5</v>
      </c>
      <c r="L6" s="5" t="n">
        <v>4.5</v>
      </c>
      <c r="M6" s="5" t="n">
        <f aca="false">SUMPRODUCT(기준!$B$3:$K$3,C6:L6)*20</f>
        <v>57</v>
      </c>
      <c r="N6" s="6" t="n">
        <f aca="false">MIN(M6,K6*20)</f>
        <v>57</v>
      </c>
      <c r="O6" s="5" t="n">
        <f aca="false">SUMPRODUCT(기준!$B$4:$K$4,C6:L6)*20</f>
        <v>66</v>
      </c>
      <c r="P6" s="6" t="n">
        <f aca="false">MIN(O6,K6*20)</f>
        <v>66</v>
      </c>
      <c r="Q6" s="7" t="str">
        <f aca="false">IF(N6&gt;=80,"즉시 착수",IF(N6&gt;=60,"조건부 착수",IF(N6&gt;=40,"보조도구","회피")))</f>
        <v>보조도구</v>
      </c>
      <c r="R6" s="7" t="str">
        <f aca="false">IF(P6&gt;=80,"즉시 착수",IF(P6&gt;=60,"조건부 착수",IF(P6&gt;=40,"보조도구","회피")))</f>
        <v>조건부 착수</v>
      </c>
      <c r="S6" s="7" t="str">
        <f aca="false">IF(COUNTIF(C6:L6,1)&gt;0,"⚠1점축","")</f>
        <v/>
      </c>
      <c r="T6" s="8" t="s">
        <v>32</v>
      </c>
    </row>
    <row r="7" customFormat="false" ht="15" hidden="false" customHeight="false" outlineLevel="0" collapsed="false">
      <c r="A7" s="3" t="s">
        <v>20</v>
      </c>
      <c r="B7" s="4" t="s">
        <v>33</v>
      </c>
      <c r="C7" s="5" t="n">
        <v>3.5</v>
      </c>
      <c r="D7" s="5" t="n">
        <v>2.5</v>
      </c>
      <c r="E7" s="5" t="n">
        <v>3</v>
      </c>
      <c r="F7" s="5" t="n">
        <v>3</v>
      </c>
      <c r="G7" s="5" t="n">
        <v>5</v>
      </c>
      <c r="H7" s="5" t="n">
        <v>4</v>
      </c>
      <c r="I7" s="5" t="n">
        <v>2.5</v>
      </c>
      <c r="J7" s="5" t="n">
        <v>2.5</v>
      </c>
      <c r="K7" s="5" t="n">
        <v>3.5</v>
      </c>
      <c r="L7" s="5" t="n">
        <v>3</v>
      </c>
      <c r="M7" s="5" t="n">
        <f aca="false">SUMPRODUCT(기준!$B$3:$K$3,C7:L7)*20</f>
        <v>63</v>
      </c>
      <c r="N7" s="6" t="n">
        <f aca="false">MIN(M7,K7*20)</f>
        <v>63</v>
      </c>
      <c r="O7" s="5" t="n">
        <f aca="false">SUMPRODUCT(기준!$B$4:$K$4,C7:L7)*20</f>
        <v>65.5</v>
      </c>
      <c r="P7" s="6" t="n">
        <f aca="false">MIN(O7,K7*20)</f>
        <v>65.5</v>
      </c>
      <c r="Q7" s="7" t="str">
        <f aca="false">IF(N7&gt;=80,"즉시 착수",IF(N7&gt;=60,"조건부 착수",IF(N7&gt;=40,"보조도구","회피")))</f>
        <v>조건부 착수</v>
      </c>
      <c r="R7" s="7" t="str">
        <f aca="false">IF(P7&gt;=80,"즉시 착수",IF(P7&gt;=60,"조건부 착수",IF(P7&gt;=40,"보조도구","회피")))</f>
        <v>조건부 착수</v>
      </c>
      <c r="S7" s="7" t="str">
        <f aca="false">IF(COUNTIF(C7:L7,1)&gt;0,"⚠1점축","")</f>
        <v/>
      </c>
      <c r="T7" s="8" t="s">
        <v>34</v>
      </c>
    </row>
    <row r="8" customFormat="false" ht="39.55" hidden="false" customHeight="false" outlineLevel="0" collapsed="false">
      <c r="A8" s="3" t="s">
        <v>23</v>
      </c>
      <c r="B8" s="4" t="s">
        <v>35</v>
      </c>
      <c r="C8" s="5" t="n">
        <v>2.5</v>
      </c>
      <c r="D8" s="5" t="n">
        <v>2.5</v>
      </c>
      <c r="E8" s="5" t="n">
        <v>2.5</v>
      </c>
      <c r="F8" s="5" t="n">
        <v>1.5</v>
      </c>
      <c r="G8" s="5" t="n">
        <v>3.5</v>
      </c>
      <c r="H8" s="5" t="n">
        <v>4</v>
      </c>
      <c r="I8" s="5" t="n">
        <v>2</v>
      </c>
      <c r="J8" s="5" t="n">
        <v>3</v>
      </c>
      <c r="K8" s="5" t="n">
        <v>4</v>
      </c>
      <c r="L8" s="5" t="n">
        <v>4.5</v>
      </c>
      <c r="M8" s="5" t="n">
        <f aca="false">SUMPRODUCT(기준!$B$3:$K$3,C8:L8)*20</f>
        <v>50</v>
      </c>
      <c r="N8" s="6" t="n">
        <f aca="false">MIN(M8,K8*20)</f>
        <v>50</v>
      </c>
      <c r="O8" s="5" t="n">
        <f aca="false">SUMPRODUCT(기준!$B$4:$K$4,C8:L8)*20</f>
        <v>65.5</v>
      </c>
      <c r="P8" s="6" t="n">
        <f aca="false">MIN(O8,K8*20)</f>
        <v>65.5</v>
      </c>
      <c r="Q8" s="7" t="str">
        <f aca="false">IF(N8&gt;=80,"즉시 착수",IF(N8&gt;=60,"조건부 착수",IF(N8&gt;=40,"보조도구","회피")))</f>
        <v>보조도구</v>
      </c>
      <c r="R8" s="7" t="str">
        <f aca="false">IF(P8&gt;=80,"즉시 착수",IF(P8&gt;=60,"조건부 착수",IF(P8&gt;=40,"보조도구","회피")))</f>
        <v>조건부 착수</v>
      </c>
      <c r="S8" s="7" t="str">
        <f aca="false">IF(COUNTIF(C8:L8,1)&gt;0,"⚠1점축","")</f>
        <v/>
      </c>
      <c r="T8" s="9" t="s">
        <v>36</v>
      </c>
    </row>
    <row r="9" customFormat="false" ht="15" hidden="false" customHeight="false" outlineLevel="0" collapsed="false">
      <c r="A9" s="3" t="s">
        <v>30</v>
      </c>
      <c r="B9" s="4" t="s">
        <v>37</v>
      </c>
      <c r="C9" s="5" t="n">
        <v>3.5</v>
      </c>
      <c r="D9" s="5" t="n">
        <v>4.5</v>
      </c>
      <c r="E9" s="5" t="n">
        <v>3</v>
      </c>
      <c r="F9" s="5" t="n">
        <v>2.5</v>
      </c>
      <c r="G9" s="5" t="n">
        <v>2.5</v>
      </c>
      <c r="H9" s="5" t="n">
        <v>4</v>
      </c>
      <c r="I9" s="5" t="n">
        <v>2.5</v>
      </c>
      <c r="J9" s="5" t="n">
        <v>2.5</v>
      </c>
      <c r="K9" s="5" t="n">
        <v>5</v>
      </c>
      <c r="L9" s="5" t="n">
        <v>3.5</v>
      </c>
      <c r="M9" s="5" t="n">
        <f aca="false">SUMPRODUCT(기준!$B$3:$K$3,C9:L9)*20</f>
        <v>60.5</v>
      </c>
      <c r="N9" s="6" t="n">
        <f aca="false">MIN(M9,K9*20)</f>
        <v>60.5</v>
      </c>
      <c r="O9" s="5" t="n">
        <f aca="false">SUMPRODUCT(기준!$B$4:$K$4,C9:L9)*20</f>
        <v>64.5</v>
      </c>
      <c r="P9" s="6" t="n">
        <f aca="false">MIN(O9,K9*20)</f>
        <v>64.5</v>
      </c>
      <c r="Q9" s="7" t="str">
        <f aca="false">IF(N9&gt;=80,"즉시 착수",IF(N9&gt;=60,"조건부 착수",IF(N9&gt;=40,"보조도구","회피")))</f>
        <v>조건부 착수</v>
      </c>
      <c r="R9" s="7" t="str">
        <f aca="false">IF(P9&gt;=80,"즉시 착수",IF(P9&gt;=60,"조건부 착수",IF(P9&gt;=40,"보조도구","회피")))</f>
        <v>조건부 착수</v>
      </c>
      <c r="S9" s="7" t="str">
        <f aca="false">IF(COUNTIF(C9:L9,1)&gt;0,"⚠1점축","")</f>
        <v/>
      </c>
      <c r="T9" s="8" t="s">
        <v>38</v>
      </c>
    </row>
    <row r="10" customFormat="false" ht="15" hidden="false" customHeight="false" outlineLevel="0" collapsed="false">
      <c r="A10" s="3" t="s">
        <v>30</v>
      </c>
      <c r="B10" s="10" t="s">
        <v>39</v>
      </c>
      <c r="C10" s="5" t="n">
        <v>2</v>
      </c>
      <c r="D10" s="5" t="n">
        <v>1.5</v>
      </c>
      <c r="E10" s="5" t="n">
        <v>2.5</v>
      </c>
      <c r="F10" s="5" t="n">
        <v>2</v>
      </c>
      <c r="G10" s="5" t="n">
        <v>2</v>
      </c>
      <c r="H10" s="5" t="n">
        <v>4.5</v>
      </c>
      <c r="I10" s="5" t="n">
        <v>2</v>
      </c>
      <c r="J10" s="5" t="n">
        <v>3.5</v>
      </c>
      <c r="K10" s="5" t="n">
        <v>5</v>
      </c>
      <c r="L10" s="5" t="n">
        <v>4.5</v>
      </c>
      <c r="M10" s="5" t="n">
        <f aca="false">SUMPRODUCT(기준!$B$3:$K$3,C10:L10)*20</f>
        <v>46.5</v>
      </c>
      <c r="N10" s="6" t="n">
        <f aca="false">MIN(M10,K10*20)</f>
        <v>46.5</v>
      </c>
      <c r="O10" s="5" t="n">
        <f aca="false">SUMPRODUCT(기준!$B$4:$K$4,C10:L10)*20</f>
        <v>63.5</v>
      </c>
      <c r="P10" s="6" t="n">
        <f aca="false">MIN(O10,K10*20)</f>
        <v>63.5</v>
      </c>
      <c r="Q10" s="7" t="str">
        <f aca="false">IF(N10&gt;=80,"즉시 착수",IF(N10&gt;=60,"조건부 착수",IF(N10&gt;=40,"보조도구","회피")))</f>
        <v>보조도구</v>
      </c>
      <c r="R10" s="7" t="str">
        <f aca="false">IF(P10&gt;=80,"즉시 착수",IF(P10&gt;=60,"조건부 착수",IF(P10&gt;=40,"보조도구","회피")))</f>
        <v>조건부 착수</v>
      </c>
      <c r="S10" s="7" t="str">
        <f aca="false">IF(COUNTIF(C10:L10,1)&gt;0,"⚠1점축","")</f>
        <v/>
      </c>
      <c r="T10" s="8" t="s">
        <v>40</v>
      </c>
    </row>
    <row r="11" customFormat="false" ht="15" hidden="false" customHeight="false" outlineLevel="0" collapsed="false">
      <c r="A11" s="3" t="s">
        <v>20</v>
      </c>
      <c r="B11" s="4" t="s">
        <v>41</v>
      </c>
      <c r="C11" s="5" t="n">
        <v>3.5</v>
      </c>
      <c r="D11" s="5" t="n">
        <v>2.5</v>
      </c>
      <c r="E11" s="5" t="n">
        <v>3</v>
      </c>
      <c r="F11" s="5" t="n">
        <v>3</v>
      </c>
      <c r="G11" s="5" t="n">
        <v>5</v>
      </c>
      <c r="H11" s="5" t="n">
        <v>4</v>
      </c>
      <c r="I11" s="5" t="n">
        <v>2.5</v>
      </c>
      <c r="J11" s="5" t="n">
        <v>2.5</v>
      </c>
      <c r="K11" s="5" t="n">
        <v>3.5</v>
      </c>
      <c r="L11" s="5" t="n">
        <v>2.5</v>
      </c>
      <c r="M11" s="5" t="n">
        <f aca="false">SUMPRODUCT(기준!$B$3:$K$3,C11:L11)*20</f>
        <v>63</v>
      </c>
      <c r="N11" s="6" t="n">
        <f aca="false">MIN(M11,K11*20)</f>
        <v>63</v>
      </c>
      <c r="O11" s="5" t="n">
        <f aca="false">SUMPRODUCT(기준!$B$4:$K$4,C11:L11)*20</f>
        <v>63</v>
      </c>
      <c r="P11" s="6" t="n">
        <f aca="false">MIN(O11,K11*20)</f>
        <v>63</v>
      </c>
      <c r="Q11" s="7" t="str">
        <f aca="false">IF(N11&gt;=80,"즉시 착수",IF(N11&gt;=60,"조건부 착수",IF(N11&gt;=40,"보조도구","회피")))</f>
        <v>조건부 착수</v>
      </c>
      <c r="R11" s="7" t="str">
        <f aca="false">IF(P11&gt;=80,"즉시 착수",IF(P11&gt;=60,"조건부 착수",IF(P11&gt;=40,"보조도구","회피")))</f>
        <v>조건부 착수</v>
      </c>
      <c r="S11" s="7" t="str">
        <f aca="false">IF(COUNTIF(C11:L11,1)&gt;0,"⚠1점축","")</f>
        <v/>
      </c>
      <c r="T11" s="8" t="s">
        <v>42</v>
      </c>
    </row>
    <row r="12" customFormat="false" ht="52.2" hidden="false" customHeight="false" outlineLevel="0" collapsed="false">
      <c r="A12" s="3" t="s">
        <v>23</v>
      </c>
      <c r="B12" s="4" t="s">
        <v>43</v>
      </c>
      <c r="C12" s="5" t="n">
        <v>2</v>
      </c>
      <c r="D12" s="5" t="n">
        <v>2</v>
      </c>
      <c r="E12" s="5" t="n">
        <v>2.5</v>
      </c>
      <c r="F12" s="5" t="n">
        <v>2</v>
      </c>
      <c r="G12" s="5" t="n">
        <v>1.5</v>
      </c>
      <c r="H12" s="5" t="n">
        <v>4</v>
      </c>
      <c r="I12" s="5" t="n">
        <v>2.5</v>
      </c>
      <c r="J12" s="5" t="n">
        <v>2</v>
      </c>
      <c r="K12" s="5" t="n">
        <v>4</v>
      </c>
      <c r="L12" s="5" t="n">
        <v>5</v>
      </c>
      <c r="M12" s="5" t="n">
        <f aca="false">SUMPRODUCT(기준!$B$3:$K$3,C12:L12)*20</f>
        <v>44.5</v>
      </c>
      <c r="N12" s="6" t="n">
        <f aca="false">MIN(M12,K12*20)</f>
        <v>44.5</v>
      </c>
      <c r="O12" s="5" t="n">
        <f aca="false">SUMPRODUCT(기준!$B$4:$K$4,C12:L12)*20</f>
        <v>62</v>
      </c>
      <c r="P12" s="6" t="n">
        <f aca="false">MIN(O12,K12*20)</f>
        <v>62</v>
      </c>
      <c r="Q12" s="7" t="str">
        <f aca="false">IF(N12&gt;=80,"즉시 착수",IF(N12&gt;=60,"조건부 착수",IF(N12&gt;=40,"보조도구","회피")))</f>
        <v>보조도구</v>
      </c>
      <c r="R12" s="7" t="str">
        <f aca="false">IF(P12&gt;=80,"즉시 착수",IF(P12&gt;=60,"조건부 착수",IF(P12&gt;=40,"보조도구","회피")))</f>
        <v>조건부 착수</v>
      </c>
      <c r="S12" s="7" t="str">
        <f aca="false">IF(COUNTIF(C12:L12,1)&gt;0,"⚠1점축","")</f>
        <v/>
      </c>
      <c r="T12" s="9" t="s">
        <v>44</v>
      </c>
    </row>
    <row r="13" customFormat="false" ht="15" hidden="false" customHeight="false" outlineLevel="0" collapsed="false">
      <c r="A13" s="3" t="s">
        <v>45</v>
      </c>
      <c r="B13" s="4" t="s">
        <v>46</v>
      </c>
      <c r="C13" s="5" t="n">
        <v>3.5</v>
      </c>
      <c r="D13" s="5" t="n">
        <v>3</v>
      </c>
      <c r="E13" s="5" t="n">
        <v>2.5</v>
      </c>
      <c r="F13" s="5" t="n">
        <v>2</v>
      </c>
      <c r="G13" s="5" t="n">
        <v>4.5</v>
      </c>
      <c r="H13" s="5" t="n">
        <v>4</v>
      </c>
      <c r="I13" s="5" t="n">
        <v>1.5</v>
      </c>
      <c r="J13" s="5" t="n">
        <v>3</v>
      </c>
      <c r="K13" s="5" t="n">
        <v>4.5</v>
      </c>
      <c r="L13" s="5" t="n">
        <v>3</v>
      </c>
      <c r="M13" s="5" t="n">
        <f aca="false">SUMPRODUCT(기준!$B$3:$K$3,C13:L13)*20</f>
        <v>56</v>
      </c>
      <c r="N13" s="6" t="n">
        <f aca="false">MIN(M13,K13*20)</f>
        <v>56</v>
      </c>
      <c r="O13" s="5" t="n">
        <f aca="false">SUMPRODUCT(기준!$B$4:$K$4,C13:L13)*20</f>
        <v>62</v>
      </c>
      <c r="P13" s="6" t="n">
        <f aca="false">MIN(O13,K13*20)</f>
        <v>62</v>
      </c>
      <c r="Q13" s="7" t="str">
        <f aca="false">IF(N13&gt;=80,"즉시 착수",IF(N13&gt;=60,"조건부 착수",IF(N13&gt;=40,"보조도구","회피")))</f>
        <v>보조도구</v>
      </c>
      <c r="R13" s="7" t="str">
        <f aca="false">IF(P13&gt;=80,"즉시 착수",IF(P13&gt;=60,"조건부 착수",IF(P13&gt;=40,"보조도구","회피")))</f>
        <v>조건부 착수</v>
      </c>
      <c r="S13" s="7" t="str">
        <f aca="false">IF(COUNTIF(C13:L13,1)&gt;0,"⚠1점축","")</f>
        <v/>
      </c>
      <c r="T13" s="8" t="s">
        <v>47</v>
      </c>
    </row>
    <row r="14" customFormat="false" ht="39.55" hidden="false" customHeight="false" outlineLevel="0" collapsed="false">
      <c r="A14" s="3" t="s">
        <v>20</v>
      </c>
      <c r="B14" s="4" t="s">
        <v>48</v>
      </c>
      <c r="C14" s="5" t="n">
        <v>4</v>
      </c>
      <c r="D14" s="5" t="n">
        <v>4</v>
      </c>
      <c r="E14" s="5" t="n">
        <v>3.5</v>
      </c>
      <c r="F14" s="5" t="n">
        <v>2.5</v>
      </c>
      <c r="G14" s="5" t="n">
        <v>5</v>
      </c>
      <c r="H14" s="5" t="n">
        <v>3.5</v>
      </c>
      <c r="I14" s="5" t="n">
        <v>2</v>
      </c>
      <c r="J14" s="5" t="n">
        <v>2.5</v>
      </c>
      <c r="K14" s="5" t="n">
        <v>3</v>
      </c>
      <c r="L14" s="5" t="n">
        <v>3.5</v>
      </c>
      <c r="M14" s="5" t="n">
        <f aca="false">SUMPRODUCT(기준!$B$3:$K$3,C14:L14)*20</f>
        <v>66</v>
      </c>
      <c r="N14" s="6" t="n">
        <f aca="false">MIN(M14,K14*20)</f>
        <v>60</v>
      </c>
      <c r="O14" s="5" t="n">
        <f aca="false">SUMPRODUCT(기준!$B$4:$K$4,C14:L14)*20</f>
        <v>68.5</v>
      </c>
      <c r="P14" s="6" t="n">
        <f aca="false">MIN(O14,K14*20)</f>
        <v>60</v>
      </c>
      <c r="Q14" s="7" t="str">
        <f aca="false">IF(N14&gt;=80,"즉시 착수",IF(N14&gt;=60,"조건부 착수",IF(N14&gt;=40,"보조도구","회피")))</f>
        <v>조건부 착수</v>
      </c>
      <c r="R14" s="7" t="str">
        <f aca="false">IF(P14&gt;=80,"즉시 착수",IF(P14&gt;=60,"조건부 착수",IF(P14&gt;=40,"보조도구","회피")))</f>
        <v>조건부 착수</v>
      </c>
      <c r="S14" s="7" t="str">
        <f aca="false">IF(COUNTIF(C14:L14,1)&gt;0,"⚠1점축","")</f>
        <v/>
      </c>
      <c r="T14" s="9" t="s">
        <v>49</v>
      </c>
    </row>
    <row r="15" customFormat="false" ht="15" hidden="false" customHeight="false" outlineLevel="0" collapsed="false">
      <c r="A15" s="3" t="s">
        <v>20</v>
      </c>
      <c r="B15" s="10" t="s">
        <v>50</v>
      </c>
      <c r="C15" s="5" t="n">
        <v>3.5</v>
      </c>
      <c r="D15" s="5" t="n">
        <v>3</v>
      </c>
      <c r="E15" s="5" t="n">
        <v>3</v>
      </c>
      <c r="F15" s="5" t="n">
        <v>3.5</v>
      </c>
      <c r="G15" s="5" t="n">
        <v>5</v>
      </c>
      <c r="H15" s="5" t="n">
        <v>2.5</v>
      </c>
      <c r="I15" s="5" t="n">
        <v>1.5</v>
      </c>
      <c r="J15" s="5" t="n">
        <v>3</v>
      </c>
      <c r="K15" s="5" t="n">
        <v>3</v>
      </c>
      <c r="L15" s="5" t="n">
        <v>3.5</v>
      </c>
      <c r="M15" s="5" t="n">
        <f aca="false">SUMPRODUCT(기준!$B$3:$K$3,C15:L15)*20</f>
        <v>62</v>
      </c>
      <c r="N15" s="6" t="n">
        <f aca="false">MIN(M15,K15*20)</f>
        <v>60</v>
      </c>
      <c r="O15" s="5" t="n">
        <f aca="false">SUMPRODUCT(기준!$B$4:$K$4,C15:L15)*20</f>
        <v>63.5</v>
      </c>
      <c r="P15" s="6" t="n">
        <f aca="false">MIN(O15,K15*20)</f>
        <v>60</v>
      </c>
      <c r="Q15" s="7" t="str">
        <f aca="false">IF(N15&gt;=80,"즉시 착수",IF(N15&gt;=60,"조건부 착수",IF(N15&gt;=40,"보조도구","회피")))</f>
        <v>조건부 착수</v>
      </c>
      <c r="R15" s="7" t="str">
        <f aca="false">IF(P15&gt;=80,"즉시 착수",IF(P15&gt;=60,"조건부 착수",IF(P15&gt;=40,"보조도구","회피")))</f>
        <v>조건부 착수</v>
      </c>
      <c r="S15" s="7" t="str">
        <f aca="false">IF(COUNTIF(C15:L15,1)&gt;0,"⚠1점축","")</f>
        <v/>
      </c>
      <c r="T15" s="8" t="s">
        <v>51</v>
      </c>
    </row>
    <row r="16" customFormat="false" ht="15" hidden="false" customHeight="false" outlineLevel="0" collapsed="false">
      <c r="A16" s="3" t="s">
        <v>45</v>
      </c>
      <c r="B16" s="4" t="s">
        <v>52</v>
      </c>
      <c r="C16" s="5" t="n">
        <v>3</v>
      </c>
      <c r="D16" s="5" t="n">
        <v>2</v>
      </c>
      <c r="E16" s="5" t="n">
        <v>2</v>
      </c>
      <c r="F16" s="5" t="n">
        <v>2</v>
      </c>
      <c r="G16" s="5" t="n">
        <v>5</v>
      </c>
      <c r="H16" s="5" t="n">
        <v>4.5</v>
      </c>
      <c r="I16" s="5" t="n">
        <v>1.5</v>
      </c>
      <c r="J16" s="5" t="n">
        <v>3</v>
      </c>
      <c r="K16" s="5" t="n">
        <v>4.5</v>
      </c>
      <c r="L16" s="5" t="n">
        <v>2.5</v>
      </c>
      <c r="M16" s="5" t="n">
        <f aca="false">SUMPRODUCT(기준!$B$3:$K$3,C16:L16)*20</f>
        <v>52</v>
      </c>
      <c r="N16" s="6" t="n">
        <f aca="false">MIN(M16,K16*20)</f>
        <v>52</v>
      </c>
      <c r="O16" s="5" t="n">
        <f aca="false">SUMPRODUCT(기준!$B$4:$K$4,C16:L16)*20</f>
        <v>59</v>
      </c>
      <c r="P16" s="6" t="n">
        <f aca="false">MIN(O16,K16*20)</f>
        <v>59</v>
      </c>
      <c r="Q16" s="7" t="str">
        <f aca="false">IF(N16&gt;=80,"즉시 착수",IF(N16&gt;=60,"조건부 착수",IF(N16&gt;=40,"보조도구","회피")))</f>
        <v>보조도구</v>
      </c>
      <c r="R16" s="7" t="str">
        <f aca="false">IF(P16&gt;=80,"즉시 착수",IF(P16&gt;=60,"조건부 착수",IF(P16&gt;=40,"보조도구","회피")))</f>
        <v>보조도구</v>
      </c>
      <c r="S16" s="7" t="str">
        <f aca="false">IF(COUNTIF(C16:L16,1)&gt;0,"⚠1점축","")</f>
        <v/>
      </c>
      <c r="T16" s="8" t="s">
        <v>53</v>
      </c>
    </row>
    <row r="17" customFormat="false" ht="15" hidden="false" customHeight="false" outlineLevel="0" collapsed="false">
      <c r="A17" s="3" t="s">
        <v>30</v>
      </c>
      <c r="B17" s="10" t="s">
        <v>54</v>
      </c>
      <c r="C17" s="5" t="n">
        <v>2.5</v>
      </c>
      <c r="D17" s="5" t="n">
        <v>1.5</v>
      </c>
      <c r="E17" s="5" t="n">
        <v>2.5</v>
      </c>
      <c r="F17" s="5" t="n">
        <v>1.5</v>
      </c>
      <c r="G17" s="5" t="n">
        <v>2</v>
      </c>
      <c r="H17" s="5" t="n">
        <v>5</v>
      </c>
      <c r="I17" s="5" t="n">
        <v>2</v>
      </c>
      <c r="J17" s="5" t="n">
        <v>4</v>
      </c>
      <c r="K17" s="5" t="n">
        <v>4.5</v>
      </c>
      <c r="L17" s="5" t="n">
        <v>3</v>
      </c>
      <c r="M17" s="5" t="n">
        <f aca="false">SUMPRODUCT(기준!$B$3:$K$3,C17:L17)*20</f>
        <v>48</v>
      </c>
      <c r="N17" s="6" t="n">
        <f aca="false">MIN(M17,K17*20)</f>
        <v>48</v>
      </c>
      <c r="O17" s="5" t="n">
        <f aca="false">SUMPRODUCT(기준!$B$4:$K$4,C17:L17)*20</f>
        <v>59</v>
      </c>
      <c r="P17" s="6" t="n">
        <f aca="false">MIN(O17,K17*20)</f>
        <v>59</v>
      </c>
      <c r="Q17" s="7" t="str">
        <f aca="false">IF(N17&gt;=80,"즉시 착수",IF(N17&gt;=60,"조건부 착수",IF(N17&gt;=40,"보조도구","회피")))</f>
        <v>보조도구</v>
      </c>
      <c r="R17" s="7" t="str">
        <f aca="false">IF(P17&gt;=80,"즉시 착수",IF(P17&gt;=60,"조건부 착수",IF(P17&gt;=40,"보조도구","회피")))</f>
        <v>보조도구</v>
      </c>
      <c r="S17" s="7" t="str">
        <f aca="false">IF(COUNTIF(C17:L17,1)&gt;0,"⚠1점축","")</f>
        <v/>
      </c>
      <c r="T17" s="8" t="s">
        <v>55</v>
      </c>
    </row>
    <row r="18" customFormat="false" ht="15" hidden="false" customHeight="false" outlineLevel="0" collapsed="false">
      <c r="A18" s="3" t="s">
        <v>30</v>
      </c>
      <c r="B18" s="10" t="s">
        <v>56</v>
      </c>
      <c r="C18" s="5" t="n">
        <v>4.5</v>
      </c>
      <c r="D18" s="5" t="n">
        <v>4.5</v>
      </c>
      <c r="E18" s="5" t="n">
        <v>4</v>
      </c>
      <c r="F18" s="5" t="n">
        <v>3.5</v>
      </c>
      <c r="G18" s="5" t="n">
        <v>3.5</v>
      </c>
      <c r="H18" s="5" t="n">
        <v>3.5</v>
      </c>
      <c r="I18" s="5" t="n">
        <v>2</v>
      </c>
      <c r="J18" s="5" t="n">
        <v>1.5</v>
      </c>
      <c r="K18" s="5" t="n">
        <v>4</v>
      </c>
      <c r="L18" s="5" t="n">
        <v>1.5</v>
      </c>
      <c r="M18" s="5" t="n">
        <f aca="false">SUMPRODUCT(기준!$B$3:$K$3,C18:L18)*20</f>
        <v>68.5</v>
      </c>
      <c r="N18" s="6" t="n">
        <f aca="false">MIN(M18,K18*20)</f>
        <v>68.5</v>
      </c>
      <c r="O18" s="5" t="n">
        <f aca="false">SUMPRODUCT(기준!$B$4:$K$4,C18:L18)*20</f>
        <v>57</v>
      </c>
      <c r="P18" s="6" t="n">
        <f aca="false">MIN(O18,K18*20)</f>
        <v>57</v>
      </c>
      <c r="Q18" s="7" t="str">
        <f aca="false">IF(N18&gt;=80,"즉시 착수",IF(N18&gt;=60,"조건부 착수",IF(N18&gt;=40,"보조도구","회피")))</f>
        <v>조건부 착수</v>
      </c>
      <c r="R18" s="7" t="str">
        <f aca="false">IF(P18&gt;=80,"즉시 착수",IF(P18&gt;=60,"조건부 착수",IF(P18&gt;=40,"보조도구","회피")))</f>
        <v>보조도구</v>
      </c>
      <c r="S18" s="7" t="str">
        <f aca="false">IF(COUNTIF(C18:L18,1)&gt;0,"⚠1점축","")</f>
        <v/>
      </c>
      <c r="T18" s="9" t="s">
        <v>57</v>
      </c>
    </row>
    <row r="19" customFormat="false" ht="15" hidden="false" customHeight="false" outlineLevel="0" collapsed="false">
      <c r="A19" s="3" t="s">
        <v>30</v>
      </c>
      <c r="B19" s="10" t="s">
        <v>58</v>
      </c>
      <c r="C19" s="5" t="n">
        <v>4</v>
      </c>
      <c r="D19" s="5" t="n">
        <v>4.5</v>
      </c>
      <c r="E19" s="5" t="n">
        <v>3</v>
      </c>
      <c r="F19" s="5" t="n">
        <v>3</v>
      </c>
      <c r="G19" s="5" t="n">
        <v>2.5</v>
      </c>
      <c r="H19" s="5" t="n">
        <v>3.5</v>
      </c>
      <c r="I19" s="5" t="n">
        <v>2.5</v>
      </c>
      <c r="J19" s="5" t="n">
        <v>2.5</v>
      </c>
      <c r="K19" s="5" t="n">
        <v>5</v>
      </c>
      <c r="L19" s="5" t="n">
        <v>2</v>
      </c>
      <c r="M19" s="5" t="n">
        <f aca="false">SUMPRODUCT(기준!$B$3:$K$3,C19:L19)*20</f>
        <v>63</v>
      </c>
      <c r="N19" s="6" t="n">
        <f aca="false">MIN(M19,K19*20)</f>
        <v>63</v>
      </c>
      <c r="O19" s="5" t="n">
        <f aca="false">SUMPRODUCT(기준!$B$4:$K$4,C19:L19)*20</f>
        <v>57</v>
      </c>
      <c r="P19" s="6" t="n">
        <f aca="false">MIN(O19,K19*20)</f>
        <v>57</v>
      </c>
      <c r="Q19" s="7" t="str">
        <f aca="false">IF(N19&gt;=80,"즉시 착수",IF(N19&gt;=60,"조건부 착수",IF(N19&gt;=40,"보조도구","회피")))</f>
        <v>조건부 착수</v>
      </c>
      <c r="R19" s="7" t="str">
        <f aca="false">IF(P19&gt;=80,"즉시 착수",IF(P19&gt;=60,"조건부 착수",IF(P19&gt;=40,"보조도구","회피")))</f>
        <v>보조도구</v>
      </c>
      <c r="S19" s="7" t="str">
        <f aca="false">IF(COUNTIF(C19:L19,1)&gt;0,"⚠1점축","")</f>
        <v/>
      </c>
      <c r="T19" s="8" t="s">
        <v>59</v>
      </c>
    </row>
    <row r="20" customFormat="false" ht="15" hidden="false" customHeight="false" outlineLevel="0" collapsed="false">
      <c r="A20" s="3" t="s">
        <v>45</v>
      </c>
      <c r="B20" s="4" t="s">
        <v>60</v>
      </c>
      <c r="C20" s="5" t="n">
        <v>4</v>
      </c>
      <c r="D20" s="5" t="n">
        <v>4.5</v>
      </c>
      <c r="E20" s="5" t="n">
        <v>3.5</v>
      </c>
      <c r="F20" s="5" t="n">
        <v>3</v>
      </c>
      <c r="G20" s="5" t="n">
        <v>2.5</v>
      </c>
      <c r="H20" s="5" t="n">
        <v>3</v>
      </c>
      <c r="I20" s="5" t="n">
        <v>2.5</v>
      </c>
      <c r="J20" s="5" t="n">
        <v>2</v>
      </c>
      <c r="K20" s="5" t="n">
        <v>5</v>
      </c>
      <c r="L20" s="5" t="n">
        <v>2</v>
      </c>
      <c r="M20" s="5" t="n">
        <f aca="false">SUMPRODUCT(기준!$B$3:$K$3,C20:L20)*20</f>
        <v>63.5</v>
      </c>
      <c r="N20" s="6" t="n">
        <f aca="false">MIN(M20,K20*20)</f>
        <v>63.5</v>
      </c>
      <c r="O20" s="5" t="n">
        <f aca="false">SUMPRODUCT(기준!$B$4:$K$4,C20:L20)*20</f>
        <v>55.5</v>
      </c>
      <c r="P20" s="6" t="n">
        <f aca="false">MIN(O20,K20*20)</f>
        <v>55.5</v>
      </c>
      <c r="Q20" s="7" t="str">
        <f aca="false">IF(N20&gt;=80,"즉시 착수",IF(N20&gt;=60,"조건부 착수",IF(N20&gt;=40,"보조도구","회피")))</f>
        <v>조건부 착수</v>
      </c>
      <c r="R20" s="7" t="str">
        <f aca="false">IF(P20&gt;=80,"즉시 착수",IF(P20&gt;=60,"조건부 착수",IF(P20&gt;=40,"보조도구","회피")))</f>
        <v>보조도구</v>
      </c>
      <c r="S20" s="7" t="str">
        <f aca="false">IF(COUNTIF(C20:L20,1)&gt;0,"⚠1점축","")</f>
        <v/>
      </c>
      <c r="T20" s="8" t="s">
        <v>61</v>
      </c>
    </row>
    <row r="21" customFormat="false" ht="15" hidden="false" customHeight="false" outlineLevel="0" collapsed="false">
      <c r="A21" s="3" t="s">
        <v>30</v>
      </c>
      <c r="B21" s="4" t="s">
        <v>62</v>
      </c>
      <c r="C21" s="5" t="n">
        <v>4</v>
      </c>
      <c r="D21" s="5" t="n">
        <v>4.5</v>
      </c>
      <c r="E21" s="5" t="n">
        <v>3</v>
      </c>
      <c r="F21" s="5" t="n">
        <v>2.5</v>
      </c>
      <c r="G21" s="5" t="n">
        <v>2.5</v>
      </c>
      <c r="H21" s="5" t="n">
        <v>3</v>
      </c>
      <c r="I21" s="5" t="n">
        <v>2.5</v>
      </c>
      <c r="J21" s="5" t="n">
        <v>1.5</v>
      </c>
      <c r="K21" s="5" t="n">
        <v>5</v>
      </c>
      <c r="L21" s="5" t="n">
        <v>2.5</v>
      </c>
      <c r="M21" s="5" t="n">
        <f aca="false">SUMPRODUCT(기준!$B$3:$K$3,C21:L21)*20</f>
        <v>59</v>
      </c>
      <c r="N21" s="6" t="n">
        <f aca="false">MIN(M21,K21*20)</f>
        <v>59</v>
      </c>
      <c r="O21" s="5" t="n">
        <f aca="false">SUMPRODUCT(기준!$B$4:$K$4,C21:L21)*20</f>
        <v>55.5</v>
      </c>
      <c r="P21" s="6" t="n">
        <f aca="false">MIN(O21,K21*20)</f>
        <v>55.5</v>
      </c>
      <c r="Q21" s="7" t="str">
        <f aca="false">IF(N21&gt;=80,"즉시 착수",IF(N21&gt;=60,"조건부 착수",IF(N21&gt;=40,"보조도구","회피")))</f>
        <v>보조도구</v>
      </c>
      <c r="R21" s="7" t="str">
        <f aca="false">IF(P21&gt;=80,"즉시 착수",IF(P21&gt;=60,"조건부 착수",IF(P21&gt;=40,"보조도구","회피")))</f>
        <v>보조도구</v>
      </c>
      <c r="S21" s="7" t="str">
        <f aca="false">IF(COUNTIF(C21:L21,1)&gt;0,"⚠1점축","")</f>
        <v/>
      </c>
      <c r="T21" s="8" t="s">
        <v>63</v>
      </c>
    </row>
    <row r="22" customFormat="false" ht="15" hidden="false" customHeight="false" outlineLevel="0" collapsed="false">
      <c r="A22" s="3" t="s">
        <v>30</v>
      </c>
      <c r="B22" s="4" t="s">
        <v>64</v>
      </c>
      <c r="C22" s="5" t="n">
        <v>4</v>
      </c>
      <c r="D22" s="5" t="n">
        <v>4.5</v>
      </c>
      <c r="E22" s="5" t="n">
        <v>3</v>
      </c>
      <c r="F22" s="5" t="n">
        <v>3</v>
      </c>
      <c r="G22" s="5" t="n">
        <v>2.5</v>
      </c>
      <c r="H22" s="5" t="n">
        <v>3.5</v>
      </c>
      <c r="I22" s="5" t="n">
        <v>2.5</v>
      </c>
      <c r="J22" s="5" t="n">
        <v>1.5</v>
      </c>
      <c r="K22" s="5" t="n">
        <v>5</v>
      </c>
      <c r="L22" s="5" t="n">
        <v>2</v>
      </c>
      <c r="M22" s="5" t="n">
        <f aca="false">SUMPRODUCT(기준!$B$3:$K$3,C22:L22)*20</f>
        <v>61</v>
      </c>
      <c r="N22" s="6" t="n">
        <f aca="false">MIN(M22,K22*20)</f>
        <v>61</v>
      </c>
      <c r="O22" s="5" t="n">
        <f aca="false">SUMPRODUCT(기준!$B$4:$K$4,C22:L22)*20</f>
        <v>55</v>
      </c>
      <c r="P22" s="6" t="n">
        <f aca="false">MIN(O22,K22*20)</f>
        <v>55</v>
      </c>
      <c r="Q22" s="7" t="str">
        <f aca="false">IF(N22&gt;=80,"즉시 착수",IF(N22&gt;=60,"조건부 착수",IF(N22&gt;=40,"보조도구","회피")))</f>
        <v>조건부 착수</v>
      </c>
      <c r="R22" s="7" t="str">
        <f aca="false">IF(P22&gt;=80,"즉시 착수",IF(P22&gt;=60,"조건부 착수",IF(P22&gt;=40,"보조도구","회피")))</f>
        <v>보조도구</v>
      </c>
      <c r="S22" s="7" t="str">
        <f aca="false">IF(COUNTIF(C22:L22,1)&gt;0,"⚠1점축","")</f>
        <v/>
      </c>
      <c r="T22" s="8" t="s">
        <v>65</v>
      </c>
    </row>
    <row r="23" customFormat="false" ht="15" hidden="false" customHeight="false" outlineLevel="0" collapsed="false">
      <c r="A23" s="3" t="s">
        <v>30</v>
      </c>
      <c r="B23" s="4" t="s">
        <v>66</v>
      </c>
      <c r="C23" s="5" t="n">
        <v>3.5</v>
      </c>
      <c r="D23" s="5" t="n">
        <v>3</v>
      </c>
      <c r="E23" s="5" t="n">
        <v>2.5</v>
      </c>
      <c r="F23" s="5" t="n">
        <v>3</v>
      </c>
      <c r="G23" s="5" t="n">
        <v>2</v>
      </c>
      <c r="H23" s="5" t="n">
        <v>3.5</v>
      </c>
      <c r="I23" s="5" t="n">
        <v>2.5</v>
      </c>
      <c r="J23" s="5" t="n">
        <v>2.5</v>
      </c>
      <c r="K23" s="5" t="n">
        <v>4.5</v>
      </c>
      <c r="L23" s="5" t="n">
        <v>2.5</v>
      </c>
      <c r="M23" s="5" t="n">
        <f aca="false">SUMPRODUCT(기준!$B$3:$K$3,C23:L23)*20</f>
        <v>55.5</v>
      </c>
      <c r="N23" s="6" t="n">
        <f aca="false">MIN(M23,K23*20)</f>
        <v>55.5</v>
      </c>
      <c r="O23" s="5" t="n">
        <f aca="false">SUMPRODUCT(기준!$B$4:$K$4,C23:L23)*20</f>
        <v>55</v>
      </c>
      <c r="P23" s="6" t="n">
        <f aca="false">MIN(O23,K23*20)</f>
        <v>55</v>
      </c>
      <c r="Q23" s="7" t="str">
        <f aca="false">IF(N23&gt;=80,"즉시 착수",IF(N23&gt;=60,"조건부 착수",IF(N23&gt;=40,"보조도구","회피")))</f>
        <v>보조도구</v>
      </c>
      <c r="R23" s="7" t="str">
        <f aca="false">IF(P23&gt;=80,"즉시 착수",IF(P23&gt;=60,"조건부 착수",IF(P23&gt;=40,"보조도구","회피")))</f>
        <v>보조도구</v>
      </c>
      <c r="S23" s="7" t="str">
        <f aca="false">IF(COUNTIF(C23:L23,1)&gt;0,"⚠1점축","")</f>
        <v/>
      </c>
      <c r="T23" s="8" t="s">
        <v>67</v>
      </c>
    </row>
    <row r="24" customFormat="false" ht="15" hidden="false" customHeight="false" outlineLevel="0" collapsed="false">
      <c r="A24" s="3" t="s">
        <v>30</v>
      </c>
      <c r="B24" s="4" t="s">
        <v>68</v>
      </c>
      <c r="C24" s="5" t="n">
        <v>3.5</v>
      </c>
      <c r="D24" s="5" t="n">
        <v>4.5</v>
      </c>
      <c r="E24" s="5" t="n">
        <v>2.5</v>
      </c>
      <c r="F24" s="5" t="n">
        <v>2.5</v>
      </c>
      <c r="G24" s="5" t="n">
        <v>2.5</v>
      </c>
      <c r="H24" s="5" t="n">
        <v>3.5</v>
      </c>
      <c r="I24" s="5" t="n">
        <v>2.5</v>
      </c>
      <c r="J24" s="5" t="n">
        <v>2</v>
      </c>
      <c r="K24" s="5" t="n">
        <v>5</v>
      </c>
      <c r="L24" s="5" t="n">
        <v>2</v>
      </c>
      <c r="M24" s="5" t="n">
        <f aca="false">SUMPRODUCT(기준!$B$3:$K$3,C24:L24)*20</f>
        <v>57</v>
      </c>
      <c r="N24" s="6" t="n">
        <f aca="false">MIN(M24,K24*20)</f>
        <v>57</v>
      </c>
      <c r="O24" s="5" t="n">
        <f aca="false">SUMPRODUCT(기준!$B$4:$K$4,C24:L24)*20</f>
        <v>53.5</v>
      </c>
      <c r="P24" s="6" t="n">
        <f aca="false">MIN(O24,K24*20)</f>
        <v>53.5</v>
      </c>
      <c r="Q24" s="7" t="str">
        <f aca="false">IF(N24&gt;=80,"즉시 착수",IF(N24&gt;=60,"조건부 착수",IF(N24&gt;=40,"보조도구","회피")))</f>
        <v>보조도구</v>
      </c>
      <c r="R24" s="7" t="str">
        <f aca="false">IF(P24&gt;=80,"즉시 착수",IF(P24&gt;=60,"조건부 착수",IF(P24&gt;=40,"보조도구","회피")))</f>
        <v>보조도구</v>
      </c>
      <c r="S24" s="7" t="str">
        <f aca="false">IF(COUNTIF(C24:L24,1)&gt;0,"⚠1점축","")</f>
        <v/>
      </c>
      <c r="T24" s="8" t="s">
        <v>69</v>
      </c>
    </row>
    <row r="25" customFormat="false" ht="15" hidden="false" customHeight="false" outlineLevel="0" collapsed="false">
      <c r="A25" s="3" t="s">
        <v>45</v>
      </c>
      <c r="B25" s="10" t="s">
        <v>70</v>
      </c>
      <c r="C25" s="5" t="n">
        <v>4</v>
      </c>
      <c r="D25" s="5" t="n">
        <v>3</v>
      </c>
      <c r="E25" s="5" t="n">
        <v>3.5</v>
      </c>
      <c r="F25" s="5" t="n">
        <v>3</v>
      </c>
      <c r="G25" s="5" t="n">
        <v>4.5</v>
      </c>
      <c r="H25" s="5" t="n">
        <v>2.5</v>
      </c>
      <c r="I25" s="5" t="n">
        <v>2</v>
      </c>
      <c r="J25" s="5" t="n">
        <v>2</v>
      </c>
      <c r="K25" s="5" t="n">
        <v>3</v>
      </c>
      <c r="L25" s="5" t="n">
        <v>1.5</v>
      </c>
      <c r="M25" s="5" t="n">
        <f aca="false">SUMPRODUCT(기준!$B$3:$K$3,C25:L25)*20</f>
        <v>62.5</v>
      </c>
      <c r="N25" s="6" t="n">
        <f aca="false">MIN(M25,K25*20)</f>
        <v>60</v>
      </c>
      <c r="O25" s="5" t="n">
        <f aca="false">SUMPRODUCT(기준!$B$4:$K$4,C25:L25)*20</f>
        <v>53</v>
      </c>
      <c r="P25" s="6" t="n">
        <f aca="false">MIN(O25,K25*20)</f>
        <v>53</v>
      </c>
      <c r="Q25" s="7" t="str">
        <f aca="false">IF(N25&gt;=80,"즉시 착수",IF(N25&gt;=60,"조건부 착수",IF(N25&gt;=40,"보조도구","회피")))</f>
        <v>조건부 착수</v>
      </c>
      <c r="R25" s="7" t="str">
        <f aca="false">IF(P25&gt;=80,"즉시 착수",IF(P25&gt;=60,"조건부 착수",IF(P25&gt;=40,"보조도구","회피")))</f>
        <v>보조도구</v>
      </c>
      <c r="S25" s="7" t="str">
        <f aca="false">IF(COUNTIF(C25:L25,1)&gt;0,"⚠1점축","")</f>
        <v/>
      </c>
      <c r="T25" s="8" t="s">
        <v>71</v>
      </c>
    </row>
    <row r="26" customFormat="false" ht="26.85" hidden="false" customHeight="false" outlineLevel="0" collapsed="false">
      <c r="A26" s="3" t="s">
        <v>20</v>
      </c>
      <c r="B26" s="4" t="s">
        <v>72</v>
      </c>
      <c r="C26" s="5" t="n">
        <v>5</v>
      </c>
      <c r="D26" s="5" t="n">
        <v>5</v>
      </c>
      <c r="E26" s="5" t="n">
        <v>4</v>
      </c>
      <c r="F26" s="5" t="n">
        <v>3.5</v>
      </c>
      <c r="G26" s="5" t="n">
        <v>5</v>
      </c>
      <c r="H26" s="5" t="n">
        <v>4</v>
      </c>
      <c r="I26" s="5" t="n">
        <v>2</v>
      </c>
      <c r="J26" s="5" t="n">
        <v>3</v>
      </c>
      <c r="K26" s="5" t="n">
        <v>2.5</v>
      </c>
      <c r="L26" s="5" t="n">
        <v>2</v>
      </c>
      <c r="M26" s="5" t="n">
        <f aca="false">SUMPRODUCT(기준!$B$3:$K$3,C26:L26)*20</f>
        <v>77.5</v>
      </c>
      <c r="N26" s="6" t="n">
        <f aca="false">MIN(M26,K26*20)</f>
        <v>50</v>
      </c>
      <c r="O26" s="5" t="n">
        <f aca="false">SUMPRODUCT(기준!$B$4:$K$4,C26:L26)*20</f>
        <v>68.5</v>
      </c>
      <c r="P26" s="6" t="n">
        <f aca="false">MIN(O26,K26*20)</f>
        <v>50</v>
      </c>
      <c r="Q26" s="7" t="str">
        <f aca="false">IF(N26&gt;=80,"즉시 착수",IF(N26&gt;=60,"조건부 착수",IF(N26&gt;=40,"보조도구","회피")))</f>
        <v>보조도구</v>
      </c>
      <c r="R26" s="7" t="str">
        <f aca="false">IF(P26&gt;=80,"즉시 착수",IF(P26&gt;=60,"조건부 착수",IF(P26&gt;=40,"보조도구","회피")))</f>
        <v>보조도구</v>
      </c>
      <c r="S26" s="7" t="str">
        <f aca="false">IF(COUNTIF(C26:L26,1)&gt;0,"⚠1점축","")</f>
        <v/>
      </c>
      <c r="T26" s="8" t="s">
        <v>73</v>
      </c>
    </row>
    <row r="27" customFormat="false" ht="15" hidden="false" customHeight="false" outlineLevel="0" collapsed="false">
      <c r="A27" s="3" t="s">
        <v>20</v>
      </c>
      <c r="B27" s="4" t="s">
        <v>74</v>
      </c>
      <c r="C27" s="5" t="n">
        <v>3.5</v>
      </c>
      <c r="D27" s="5" t="n">
        <v>3.5</v>
      </c>
      <c r="E27" s="5" t="n">
        <v>3</v>
      </c>
      <c r="F27" s="5" t="n">
        <v>3.5</v>
      </c>
      <c r="G27" s="5" t="n">
        <v>5</v>
      </c>
      <c r="H27" s="5" t="n">
        <v>3</v>
      </c>
      <c r="I27" s="5" t="n">
        <v>2</v>
      </c>
      <c r="J27" s="5" t="n">
        <v>2.5</v>
      </c>
      <c r="K27" s="5" t="n">
        <v>2.5</v>
      </c>
      <c r="L27" s="5" t="n">
        <v>3</v>
      </c>
      <c r="M27" s="5" t="n">
        <f aca="false">SUMPRODUCT(기준!$B$3:$K$3,C27:L27)*20</f>
        <v>64</v>
      </c>
      <c r="N27" s="6" t="n">
        <f aca="false">MIN(M27,K27*20)</f>
        <v>50</v>
      </c>
      <c r="O27" s="5" t="n">
        <f aca="false">SUMPRODUCT(기준!$B$4:$K$4,C27:L27)*20</f>
        <v>63</v>
      </c>
      <c r="P27" s="6" t="n">
        <f aca="false">MIN(O27,K27*20)</f>
        <v>50</v>
      </c>
      <c r="Q27" s="7" t="str">
        <f aca="false">IF(N27&gt;=80,"즉시 착수",IF(N27&gt;=60,"조건부 착수",IF(N27&gt;=40,"보조도구","회피")))</f>
        <v>보조도구</v>
      </c>
      <c r="R27" s="7" t="str">
        <f aca="false">IF(P27&gt;=80,"즉시 착수",IF(P27&gt;=60,"조건부 착수",IF(P27&gt;=40,"보조도구","회피")))</f>
        <v>보조도구</v>
      </c>
      <c r="S27" s="7" t="str">
        <f aca="false">IF(COUNTIF(C27:L27,1)&gt;0,"⚠1점축","")</f>
        <v/>
      </c>
      <c r="T27" s="8" t="s">
        <v>75</v>
      </c>
    </row>
    <row r="28" customFormat="false" ht="15" hidden="false" customHeight="false" outlineLevel="0" collapsed="false">
      <c r="A28" s="3" t="s">
        <v>20</v>
      </c>
      <c r="B28" s="4" t="s">
        <v>76</v>
      </c>
      <c r="C28" s="5" t="n">
        <v>3.5</v>
      </c>
      <c r="D28" s="5" t="n">
        <v>3</v>
      </c>
      <c r="E28" s="5" t="n">
        <v>3</v>
      </c>
      <c r="F28" s="5" t="n">
        <v>3</v>
      </c>
      <c r="G28" s="5" t="n">
        <v>5</v>
      </c>
      <c r="H28" s="5" t="n">
        <v>3.5</v>
      </c>
      <c r="I28" s="5" t="n">
        <v>2</v>
      </c>
      <c r="J28" s="5" t="n">
        <v>2</v>
      </c>
      <c r="K28" s="5" t="n">
        <v>2.5</v>
      </c>
      <c r="L28" s="5" t="n">
        <v>1.5</v>
      </c>
      <c r="M28" s="5" t="n">
        <f aca="false">SUMPRODUCT(기준!$B$3:$K$3,C28:L28)*20</f>
        <v>61</v>
      </c>
      <c r="N28" s="6" t="n">
        <f aca="false">MIN(M28,K28*20)</f>
        <v>50</v>
      </c>
      <c r="O28" s="5" t="n">
        <f aca="false">SUMPRODUCT(기준!$B$4:$K$4,C28:L28)*20</f>
        <v>55</v>
      </c>
      <c r="P28" s="6" t="n">
        <f aca="false">MIN(O28,K28*20)</f>
        <v>50</v>
      </c>
      <c r="Q28" s="7" t="str">
        <f aca="false">IF(N28&gt;=80,"즉시 착수",IF(N28&gt;=60,"조건부 착수",IF(N28&gt;=40,"보조도구","회피")))</f>
        <v>보조도구</v>
      </c>
      <c r="R28" s="7" t="str">
        <f aca="false">IF(P28&gt;=80,"즉시 착수",IF(P28&gt;=60,"조건부 착수",IF(P28&gt;=40,"보조도구","회피")))</f>
        <v>보조도구</v>
      </c>
      <c r="S28" s="7" t="str">
        <f aca="false">IF(COUNTIF(C28:L28,1)&gt;0,"⚠1점축","")</f>
        <v/>
      </c>
      <c r="T28" s="8" t="s">
        <v>77</v>
      </c>
    </row>
    <row r="29" customFormat="false" ht="15" hidden="false" customHeight="false" outlineLevel="0" collapsed="false">
      <c r="A29" s="3" t="s">
        <v>20</v>
      </c>
      <c r="B29" s="4" t="s">
        <v>78</v>
      </c>
      <c r="C29" s="5" t="n">
        <v>4</v>
      </c>
      <c r="D29" s="5" t="n">
        <v>3.5</v>
      </c>
      <c r="E29" s="5" t="n">
        <v>3.5</v>
      </c>
      <c r="F29" s="5" t="n">
        <v>4</v>
      </c>
      <c r="G29" s="5" t="n">
        <v>4.5</v>
      </c>
      <c r="H29" s="5" t="n">
        <v>3</v>
      </c>
      <c r="I29" s="5" t="n">
        <v>2</v>
      </c>
      <c r="J29" s="5" t="n">
        <v>2.5</v>
      </c>
      <c r="K29" s="5" t="n">
        <v>2.5</v>
      </c>
      <c r="L29" s="5" t="n">
        <v>2.5</v>
      </c>
      <c r="M29" s="5" t="n">
        <f aca="false">SUMPRODUCT(기준!$B$3:$K$3,C29:L29)*20</f>
        <v>68</v>
      </c>
      <c r="N29" s="6" t="n">
        <f aca="false">MIN(M29,K29*20)</f>
        <v>50</v>
      </c>
      <c r="O29" s="5" t="n">
        <f aca="false">SUMPRODUCT(기준!$B$4:$K$4,C29:L29)*20</f>
        <v>62</v>
      </c>
      <c r="P29" s="6" t="n">
        <f aca="false">MIN(O29,K29*20)</f>
        <v>50</v>
      </c>
      <c r="Q29" s="7" t="str">
        <f aca="false">IF(N29&gt;=80,"즉시 착수",IF(N29&gt;=60,"조건부 착수",IF(N29&gt;=40,"보조도구","회피")))</f>
        <v>보조도구</v>
      </c>
      <c r="R29" s="7" t="str">
        <f aca="false">IF(P29&gt;=80,"즉시 착수",IF(P29&gt;=60,"조건부 착수",IF(P29&gt;=40,"보조도구","회피")))</f>
        <v>보조도구</v>
      </c>
      <c r="S29" s="7" t="str">
        <f aca="false">IF(COUNTIF(C29:L29,1)&gt;0,"⚠1점축","")</f>
        <v/>
      </c>
      <c r="T29" s="8" t="s">
        <v>79</v>
      </c>
    </row>
    <row r="30" customFormat="false" ht="15" hidden="false" customHeight="false" outlineLevel="0" collapsed="false">
      <c r="A30" s="3" t="s">
        <v>30</v>
      </c>
      <c r="B30" s="4" t="s">
        <v>80</v>
      </c>
      <c r="C30" s="5" t="n">
        <v>3</v>
      </c>
      <c r="D30" s="5" t="n">
        <v>4.5</v>
      </c>
      <c r="E30" s="5" t="n">
        <v>2</v>
      </c>
      <c r="F30" s="5" t="n">
        <v>2.5</v>
      </c>
      <c r="G30" s="5" t="n">
        <v>2</v>
      </c>
      <c r="H30" s="5" t="n">
        <v>3</v>
      </c>
      <c r="I30" s="5" t="n">
        <v>2.5</v>
      </c>
      <c r="J30" s="5" t="n">
        <v>2.5</v>
      </c>
      <c r="K30" s="5" t="n">
        <v>5</v>
      </c>
      <c r="L30" s="5" t="n">
        <v>2</v>
      </c>
      <c r="M30" s="5" t="n">
        <f aca="false">SUMPRODUCT(기준!$B$3:$K$3,C30:L30)*20</f>
        <v>53</v>
      </c>
      <c r="N30" s="6" t="n">
        <f aca="false">MIN(M30,K30*20)</f>
        <v>53</v>
      </c>
      <c r="O30" s="5" t="n">
        <f aca="false">SUMPRODUCT(기준!$B$4:$K$4,C30:L30)*20</f>
        <v>50</v>
      </c>
      <c r="P30" s="6" t="n">
        <f aca="false">MIN(O30,K30*20)</f>
        <v>50</v>
      </c>
      <c r="Q30" s="7" t="str">
        <f aca="false">IF(N30&gt;=80,"즉시 착수",IF(N30&gt;=60,"조건부 착수",IF(N30&gt;=40,"보조도구","회피")))</f>
        <v>보조도구</v>
      </c>
      <c r="R30" s="7" t="str">
        <f aca="false">IF(P30&gt;=80,"즉시 착수",IF(P30&gt;=60,"조건부 착수",IF(P30&gt;=40,"보조도구","회피")))</f>
        <v>보조도구</v>
      </c>
      <c r="S30" s="7" t="str">
        <f aca="false">IF(COUNTIF(C30:L30,1)&gt;0,"⚠1점축","")</f>
        <v/>
      </c>
      <c r="T30" s="9" t="s">
        <v>81</v>
      </c>
    </row>
    <row r="31" customFormat="false" ht="15" hidden="false" customHeight="false" outlineLevel="0" collapsed="false">
      <c r="A31" s="3" t="s">
        <v>30</v>
      </c>
      <c r="B31" s="4" t="s">
        <v>82</v>
      </c>
      <c r="C31" s="5" t="n">
        <v>4</v>
      </c>
      <c r="D31" s="5" t="n">
        <v>5</v>
      </c>
      <c r="E31" s="5" t="n">
        <v>4</v>
      </c>
      <c r="F31" s="5" t="n">
        <v>4</v>
      </c>
      <c r="G31" s="5" t="n">
        <v>1.5</v>
      </c>
      <c r="H31" s="5" t="n">
        <v>2</v>
      </c>
      <c r="I31" s="5" t="n">
        <v>3.5</v>
      </c>
      <c r="J31" s="5" t="n">
        <v>2</v>
      </c>
      <c r="K31" s="5" t="n">
        <v>4</v>
      </c>
      <c r="L31" s="5" t="n">
        <v>1</v>
      </c>
      <c r="M31" s="5" t="n">
        <f aca="false">SUMPRODUCT(기준!$B$3:$K$3,C31:L31)*20</f>
        <v>69.5</v>
      </c>
      <c r="N31" s="6" t="n">
        <f aca="false">MIN(M31,K31*20)</f>
        <v>69.5</v>
      </c>
      <c r="O31" s="5" t="n">
        <f aca="false">SUMPRODUCT(기준!$B$4:$K$4,C31:L31)*20</f>
        <v>50</v>
      </c>
      <c r="P31" s="6" t="n">
        <f aca="false">MIN(O31,K31*20)</f>
        <v>50</v>
      </c>
      <c r="Q31" s="7" t="str">
        <f aca="false">IF(N31&gt;=80,"즉시 착수",IF(N31&gt;=60,"조건부 착수",IF(N31&gt;=40,"보조도구","회피")))</f>
        <v>조건부 착수</v>
      </c>
      <c r="R31" s="7" t="str">
        <f aca="false">IF(P31&gt;=80,"즉시 착수",IF(P31&gt;=60,"조건부 착수",IF(P31&gt;=40,"보조도구","회피")))</f>
        <v>보조도구</v>
      </c>
      <c r="S31" s="7" t="str">
        <f aca="false">IF(COUNTIF(C31:L31,1)&gt;0,"⚠1점축","")</f>
        <v>⚠1점축</v>
      </c>
      <c r="T31" s="8" t="s">
        <v>83</v>
      </c>
    </row>
    <row r="32" customFormat="false" ht="15" hidden="false" customHeight="false" outlineLevel="0" collapsed="false">
      <c r="A32" s="3" t="s">
        <v>45</v>
      </c>
      <c r="B32" s="4" t="s">
        <v>84</v>
      </c>
      <c r="C32" s="5" t="n">
        <v>3.5</v>
      </c>
      <c r="D32" s="5" t="n">
        <v>3</v>
      </c>
      <c r="E32" s="5" t="n">
        <v>3</v>
      </c>
      <c r="F32" s="5" t="n">
        <v>3</v>
      </c>
      <c r="G32" s="5" t="n">
        <v>3.5</v>
      </c>
      <c r="H32" s="5" t="n">
        <v>2.5</v>
      </c>
      <c r="I32" s="5" t="n">
        <v>2.5</v>
      </c>
      <c r="J32" s="5" t="n">
        <v>2</v>
      </c>
      <c r="K32" s="5" t="n">
        <v>3.5</v>
      </c>
      <c r="L32" s="5" t="n">
        <v>1.5</v>
      </c>
      <c r="M32" s="5" t="n">
        <f aca="false">SUMPRODUCT(기준!$B$3:$K$3,C32:L32)*20</f>
        <v>58.5</v>
      </c>
      <c r="N32" s="6" t="n">
        <f aca="false">MIN(M32,K32*20)</f>
        <v>58.5</v>
      </c>
      <c r="O32" s="5" t="n">
        <f aca="false">SUMPRODUCT(기준!$B$4:$K$4,C32:L32)*20</f>
        <v>50</v>
      </c>
      <c r="P32" s="6" t="n">
        <f aca="false">MIN(O32,K32*20)</f>
        <v>50</v>
      </c>
      <c r="Q32" s="7" t="str">
        <f aca="false">IF(N32&gt;=80,"즉시 착수",IF(N32&gt;=60,"조건부 착수",IF(N32&gt;=40,"보조도구","회피")))</f>
        <v>보조도구</v>
      </c>
      <c r="R32" s="7" t="str">
        <f aca="false">IF(P32&gt;=80,"즉시 착수",IF(P32&gt;=60,"조건부 착수",IF(P32&gt;=40,"보조도구","회피")))</f>
        <v>보조도구</v>
      </c>
      <c r="S32" s="7" t="str">
        <f aca="false">IF(COUNTIF(C32:L32,1)&gt;0,"⚠1점축","")</f>
        <v/>
      </c>
      <c r="T32" s="8" t="s">
        <v>85</v>
      </c>
    </row>
    <row r="33" customFormat="false" ht="15" hidden="false" customHeight="false" outlineLevel="0" collapsed="false">
      <c r="A33" s="3" t="s">
        <v>45</v>
      </c>
      <c r="B33" s="10" t="s">
        <v>86</v>
      </c>
      <c r="C33" s="5" t="n">
        <v>4</v>
      </c>
      <c r="D33" s="5" t="n">
        <v>3</v>
      </c>
      <c r="E33" s="5" t="n">
        <v>3.5</v>
      </c>
      <c r="F33" s="5" t="n">
        <v>3</v>
      </c>
      <c r="G33" s="5" t="n">
        <v>5</v>
      </c>
      <c r="H33" s="5" t="n">
        <v>4</v>
      </c>
      <c r="I33" s="5" t="n">
        <v>1.5</v>
      </c>
      <c r="J33" s="5" t="n">
        <v>1</v>
      </c>
      <c r="K33" s="5" t="n">
        <v>2.5</v>
      </c>
      <c r="L33" s="5" t="n">
        <v>2.5</v>
      </c>
      <c r="M33" s="5" t="n">
        <f aca="false">SUMPRODUCT(기준!$B$3:$K$3,C33:L33)*20</f>
        <v>61.5</v>
      </c>
      <c r="N33" s="6" t="n">
        <f aca="false">MIN(M33,K33*20)</f>
        <v>50</v>
      </c>
      <c r="O33" s="5" t="n">
        <f aca="false">SUMPRODUCT(기준!$B$4:$K$4,C33:L33)*20</f>
        <v>60.5</v>
      </c>
      <c r="P33" s="6" t="n">
        <f aca="false">MIN(O33,K33*20)</f>
        <v>50</v>
      </c>
      <c r="Q33" s="7" t="str">
        <f aca="false">IF(N33&gt;=80,"즉시 착수",IF(N33&gt;=60,"조건부 착수",IF(N33&gt;=40,"보조도구","회피")))</f>
        <v>보조도구</v>
      </c>
      <c r="R33" s="7" t="str">
        <f aca="false">IF(P33&gt;=80,"즉시 착수",IF(P33&gt;=60,"조건부 착수",IF(P33&gt;=40,"보조도구","회피")))</f>
        <v>보조도구</v>
      </c>
      <c r="S33" s="7" t="str">
        <f aca="false">IF(COUNTIF(C33:L33,1)&gt;0,"⚠1점축","")</f>
        <v>⚠1점축</v>
      </c>
      <c r="T33" s="8" t="s">
        <v>87</v>
      </c>
    </row>
    <row r="34" customFormat="false" ht="15" hidden="false" customHeight="false" outlineLevel="0" collapsed="false">
      <c r="A34" s="3" t="s">
        <v>20</v>
      </c>
      <c r="B34" s="4" t="s">
        <v>88</v>
      </c>
      <c r="C34" s="5" t="n">
        <v>2.5</v>
      </c>
      <c r="D34" s="5" t="n">
        <v>2</v>
      </c>
      <c r="E34" s="5" t="n">
        <v>2</v>
      </c>
      <c r="F34" s="5" t="n">
        <v>2.5</v>
      </c>
      <c r="G34" s="5" t="n">
        <v>4</v>
      </c>
      <c r="H34" s="5" t="n">
        <v>3</v>
      </c>
      <c r="I34" s="5" t="n">
        <v>2</v>
      </c>
      <c r="J34" s="5" t="n">
        <v>2.5</v>
      </c>
      <c r="K34" s="5" t="n">
        <v>3</v>
      </c>
      <c r="L34" s="5" t="n">
        <v>1.5</v>
      </c>
      <c r="M34" s="5" t="n">
        <f aca="false">SUMPRODUCT(기준!$B$3:$K$3,C34:L34)*20</f>
        <v>49</v>
      </c>
      <c r="N34" s="6" t="n">
        <f aca="false">MIN(M34,K34*20)</f>
        <v>49</v>
      </c>
      <c r="O34" s="5" t="n">
        <f aca="false">SUMPRODUCT(기준!$B$4:$K$4,C34:L34)*20</f>
        <v>47</v>
      </c>
      <c r="P34" s="6" t="n">
        <f aca="false">MIN(O34,K34*20)</f>
        <v>47</v>
      </c>
      <c r="Q34" s="7" t="str">
        <f aca="false">IF(N34&gt;=80,"즉시 착수",IF(N34&gt;=60,"조건부 착수",IF(N34&gt;=40,"보조도구","회피")))</f>
        <v>보조도구</v>
      </c>
      <c r="R34" s="7" t="str">
        <f aca="false">IF(P34&gt;=80,"즉시 착수",IF(P34&gt;=60,"조건부 착수",IF(P34&gt;=40,"보조도구","회피")))</f>
        <v>보조도구</v>
      </c>
      <c r="S34" s="7" t="str">
        <f aca="false">IF(COUNTIF(C34:L34,1)&gt;0,"⚠1점축","")</f>
        <v/>
      </c>
      <c r="T34" s="8" t="s">
        <v>89</v>
      </c>
    </row>
    <row r="35" customFormat="false" ht="15" hidden="false" customHeight="false" outlineLevel="0" collapsed="false">
      <c r="A35" s="3" t="s">
        <v>30</v>
      </c>
      <c r="B35" s="4" t="s">
        <v>90</v>
      </c>
      <c r="C35" s="5" t="n">
        <v>4</v>
      </c>
      <c r="D35" s="5" t="n">
        <v>4</v>
      </c>
      <c r="E35" s="5" t="n">
        <v>2.5</v>
      </c>
      <c r="F35" s="5" t="n">
        <v>2.5</v>
      </c>
      <c r="G35" s="5" t="n">
        <v>2.5</v>
      </c>
      <c r="H35" s="5" t="n">
        <v>3</v>
      </c>
      <c r="I35" s="5" t="n">
        <v>2</v>
      </c>
      <c r="J35" s="5" t="n">
        <v>1</v>
      </c>
      <c r="K35" s="5" t="n">
        <v>4.5</v>
      </c>
      <c r="L35" s="5" t="n">
        <v>1.5</v>
      </c>
      <c r="M35" s="5" t="n">
        <f aca="false">SUMPRODUCT(기준!$B$3:$K$3,C35:L35)*20</f>
        <v>53.5</v>
      </c>
      <c r="N35" s="6" t="n">
        <f aca="false">MIN(M35,K35*20)</f>
        <v>53.5</v>
      </c>
      <c r="O35" s="5" t="n">
        <f aca="false">SUMPRODUCT(기준!$B$4:$K$4,C35:L35)*20</f>
        <v>47</v>
      </c>
      <c r="P35" s="6" t="n">
        <f aca="false">MIN(O35,K35*20)</f>
        <v>47</v>
      </c>
      <c r="Q35" s="7" t="str">
        <f aca="false">IF(N35&gt;=80,"즉시 착수",IF(N35&gt;=60,"조건부 착수",IF(N35&gt;=40,"보조도구","회피")))</f>
        <v>보조도구</v>
      </c>
      <c r="R35" s="7" t="str">
        <f aca="false">IF(P35&gt;=80,"즉시 착수",IF(P35&gt;=60,"조건부 착수",IF(P35&gt;=40,"보조도구","회피")))</f>
        <v>보조도구</v>
      </c>
      <c r="S35" s="7" t="str">
        <f aca="false">IF(COUNTIF(C35:L35,1)&gt;0,"⚠1점축","")</f>
        <v>⚠1점축</v>
      </c>
      <c r="T35" s="8" t="s">
        <v>91</v>
      </c>
    </row>
    <row r="36" customFormat="false" ht="15" hidden="false" customHeight="false" outlineLevel="0" collapsed="false">
      <c r="A36" s="3" t="s">
        <v>20</v>
      </c>
      <c r="B36" s="4" t="s">
        <v>92</v>
      </c>
      <c r="C36" s="5" t="n">
        <v>4.5</v>
      </c>
      <c r="D36" s="5" t="n">
        <v>4</v>
      </c>
      <c r="E36" s="5" t="n">
        <v>4</v>
      </c>
      <c r="F36" s="5" t="n">
        <v>4.5</v>
      </c>
      <c r="G36" s="5" t="n">
        <v>5</v>
      </c>
      <c r="H36" s="5" t="n">
        <v>2</v>
      </c>
      <c r="I36" s="5" t="n">
        <v>2</v>
      </c>
      <c r="J36" s="5" t="n">
        <v>2</v>
      </c>
      <c r="K36" s="5" t="n">
        <v>2</v>
      </c>
      <c r="L36" s="5" t="n">
        <v>2</v>
      </c>
      <c r="M36" s="5" t="n">
        <f aca="false">SUMPRODUCT(기준!$B$3:$K$3,C36:L36)*20</f>
        <v>73</v>
      </c>
      <c r="N36" s="6" t="n">
        <f aca="false">MIN(M36,K36*20)</f>
        <v>40</v>
      </c>
      <c r="O36" s="5" t="n">
        <f aca="false">SUMPRODUCT(기준!$B$4:$K$4,C36:L36)*20</f>
        <v>59.5</v>
      </c>
      <c r="P36" s="6" t="n">
        <f aca="false">MIN(O36,K36*20)</f>
        <v>40</v>
      </c>
      <c r="Q36" s="7" t="str">
        <f aca="false">IF(N36&gt;=80,"즉시 착수",IF(N36&gt;=60,"조건부 착수",IF(N36&gt;=40,"보조도구","회피")))</f>
        <v>보조도구</v>
      </c>
      <c r="R36" s="7" t="str">
        <f aca="false">IF(P36&gt;=80,"즉시 착수",IF(P36&gt;=60,"조건부 착수",IF(P36&gt;=40,"보조도구","회피")))</f>
        <v>보조도구</v>
      </c>
      <c r="S36" s="7" t="str">
        <f aca="false">IF(COUNTIF(C36:L36,1)&gt;0,"⚠1점축","")</f>
        <v/>
      </c>
      <c r="T36" s="9" t="s">
        <v>93</v>
      </c>
    </row>
    <row r="37" customFormat="false" ht="15" hidden="false" customHeight="false" outlineLevel="0" collapsed="false">
      <c r="A37" s="3" t="s">
        <v>20</v>
      </c>
      <c r="B37" s="4" t="s">
        <v>94</v>
      </c>
      <c r="C37" s="5" t="n">
        <v>4.5</v>
      </c>
      <c r="D37" s="5" t="n">
        <v>4</v>
      </c>
      <c r="E37" s="5" t="n">
        <v>3.5</v>
      </c>
      <c r="F37" s="5" t="n">
        <v>3.5</v>
      </c>
      <c r="G37" s="5" t="n">
        <v>5</v>
      </c>
      <c r="H37" s="5" t="n">
        <v>3.5</v>
      </c>
      <c r="I37" s="5" t="n">
        <v>2</v>
      </c>
      <c r="J37" s="5" t="n">
        <v>2.5</v>
      </c>
      <c r="K37" s="5" t="n">
        <v>2</v>
      </c>
      <c r="L37" s="5" t="n">
        <v>2</v>
      </c>
      <c r="M37" s="5" t="n">
        <f aca="false">SUMPRODUCT(기준!$B$3:$K$3,C37:L37)*20</f>
        <v>70.5</v>
      </c>
      <c r="N37" s="6" t="n">
        <f aca="false">MIN(M37,K37*20)</f>
        <v>40</v>
      </c>
      <c r="O37" s="5" t="n">
        <f aca="false">SUMPRODUCT(기준!$B$4:$K$4,C37:L37)*20</f>
        <v>63</v>
      </c>
      <c r="P37" s="6" t="n">
        <f aca="false">MIN(O37,K37*20)</f>
        <v>40</v>
      </c>
      <c r="Q37" s="7" t="str">
        <f aca="false">IF(N37&gt;=80,"즉시 착수",IF(N37&gt;=60,"조건부 착수",IF(N37&gt;=40,"보조도구","회피")))</f>
        <v>보조도구</v>
      </c>
      <c r="R37" s="7" t="str">
        <f aca="false">IF(P37&gt;=80,"즉시 착수",IF(P37&gt;=60,"조건부 착수",IF(P37&gt;=40,"보조도구","회피")))</f>
        <v>보조도구</v>
      </c>
      <c r="S37" s="7" t="str">
        <f aca="false">IF(COUNTIF(C37:L37,1)&gt;0,"⚠1점축","")</f>
        <v/>
      </c>
      <c r="T37" s="8" t="s">
        <v>95</v>
      </c>
    </row>
    <row r="38" customFormat="false" ht="15" hidden="false" customHeight="false" outlineLevel="0" collapsed="false">
      <c r="A38" s="3" t="s">
        <v>20</v>
      </c>
      <c r="B38" s="10" t="s">
        <v>96</v>
      </c>
      <c r="C38" s="5" t="n">
        <v>3</v>
      </c>
      <c r="D38" s="5" t="n">
        <v>2.5</v>
      </c>
      <c r="E38" s="5" t="n">
        <v>2</v>
      </c>
      <c r="F38" s="5" t="n">
        <v>2.5</v>
      </c>
      <c r="G38" s="5" t="n">
        <v>4</v>
      </c>
      <c r="H38" s="5" t="n">
        <v>3</v>
      </c>
      <c r="I38" s="5" t="n">
        <v>1.5</v>
      </c>
      <c r="J38" s="5" t="n">
        <v>2</v>
      </c>
      <c r="K38" s="5" t="n">
        <v>2</v>
      </c>
      <c r="L38" s="5" t="n">
        <v>1.5</v>
      </c>
      <c r="M38" s="5" t="n">
        <f aca="false">SUMPRODUCT(기준!$B$3:$K$3,C38:L38)*20</f>
        <v>49</v>
      </c>
      <c r="N38" s="6" t="n">
        <f aca="false">MIN(M38,K38*20)</f>
        <v>40</v>
      </c>
      <c r="O38" s="5" t="n">
        <f aca="false">SUMPRODUCT(기준!$B$4:$K$4,C38:L38)*20</f>
        <v>46.5</v>
      </c>
      <c r="P38" s="6" t="n">
        <f aca="false">MIN(O38,K38*20)</f>
        <v>40</v>
      </c>
      <c r="Q38" s="7" t="str">
        <f aca="false">IF(N38&gt;=80,"즉시 착수",IF(N38&gt;=60,"조건부 착수",IF(N38&gt;=40,"보조도구","회피")))</f>
        <v>보조도구</v>
      </c>
      <c r="R38" s="7" t="str">
        <f aca="false">IF(P38&gt;=80,"즉시 착수",IF(P38&gt;=60,"조건부 착수",IF(P38&gt;=40,"보조도구","회피")))</f>
        <v>보조도구</v>
      </c>
      <c r="S38" s="7" t="str">
        <f aca="false">IF(COUNTIF(C38:L38,1)&gt;0,"⚠1점축","")</f>
        <v/>
      </c>
      <c r="T38" s="8" t="s">
        <v>97</v>
      </c>
    </row>
    <row r="39" customFormat="false" ht="15" hidden="false" customHeight="false" outlineLevel="0" collapsed="false">
      <c r="A39" s="3" t="s">
        <v>20</v>
      </c>
      <c r="B39" s="4" t="s">
        <v>98</v>
      </c>
      <c r="C39" s="5" t="n">
        <v>4.5</v>
      </c>
      <c r="D39" s="5" t="n">
        <v>3.5</v>
      </c>
      <c r="E39" s="5" t="n">
        <v>4</v>
      </c>
      <c r="F39" s="5" t="n">
        <v>3.5</v>
      </c>
      <c r="G39" s="5" t="n">
        <v>5</v>
      </c>
      <c r="H39" s="5" t="n">
        <v>3</v>
      </c>
      <c r="I39" s="5" t="n">
        <v>2.5</v>
      </c>
      <c r="J39" s="5" t="n">
        <v>1.5</v>
      </c>
      <c r="K39" s="5" t="n">
        <v>2</v>
      </c>
      <c r="L39" s="5" t="n">
        <v>1.5</v>
      </c>
      <c r="M39" s="5" t="n">
        <f aca="false">SUMPRODUCT(기준!$B$3:$K$3,C39:L39)*20</f>
        <v>70.5</v>
      </c>
      <c r="N39" s="6" t="n">
        <f aca="false">MIN(M39,K39*20)</f>
        <v>40</v>
      </c>
      <c r="O39" s="5" t="n">
        <f aca="false">SUMPRODUCT(기준!$B$4:$K$4,C39:L39)*20</f>
        <v>58.5</v>
      </c>
      <c r="P39" s="6" t="n">
        <f aca="false">MIN(O39,K39*20)</f>
        <v>40</v>
      </c>
      <c r="Q39" s="7" t="str">
        <f aca="false">IF(N39&gt;=80,"즉시 착수",IF(N39&gt;=60,"조건부 착수",IF(N39&gt;=40,"보조도구","회피")))</f>
        <v>보조도구</v>
      </c>
      <c r="R39" s="7" t="str">
        <f aca="false">IF(P39&gt;=80,"즉시 착수",IF(P39&gt;=60,"조건부 착수",IF(P39&gt;=40,"보조도구","회피")))</f>
        <v>보조도구</v>
      </c>
      <c r="S39" s="7" t="str">
        <f aca="false">IF(COUNTIF(C39:L39,1)&gt;0,"⚠1점축","")</f>
        <v/>
      </c>
      <c r="T39" s="9" t="s">
        <v>99</v>
      </c>
    </row>
    <row r="40" customFormat="false" ht="15" hidden="false" customHeight="false" outlineLevel="0" collapsed="false">
      <c r="A40" s="3" t="s">
        <v>20</v>
      </c>
      <c r="B40" s="10" t="s">
        <v>100</v>
      </c>
      <c r="C40" s="5" t="n">
        <v>4</v>
      </c>
      <c r="D40" s="5" t="n">
        <v>3.5</v>
      </c>
      <c r="E40" s="5" t="n">
        <v>4</v>
      </c>
      <c r="F40" s="5" t="n">
        <v>3.5</v>
      </c>
      <c r="G40" s="5" t="n">
        <v>5</v>
      </c>
      <c r="H40" s="5" t="n">
        <v>3</v>
      </c>
      <c r="I40" s="5" t="n">
        <v>2</v>
      </c>
      <c r="J40" s="5" t="n">
        <v>1.5</v>
      </c>
      <c r="K40" s="5" t="n">
        <v>2</v>
      </c>
      <c r="L40" s="5" t="n">
        <v>1.5</v>
      </c>
      <c r="M40" s="5" t="n">
        <f aca="false">SUMPRODUCT(기준!$B$3:$K$3,C40:L40)*20</f>
        <v>67.5</v>
      </c>
      <c r="N40" s="6" t="n">
        <f aca="false">MIN(M40,K40*20)</f>
        <v>40</v>
      </c>
      <c r="O40" s="5" t="n">
        <f aca="false">SUMPRODUCT(기준!$B$4:$K$4,C40:L40)*20</f>
        <v>56.5</v>
      </c>
      <c r="P40" s="6" t="n">
        <f aca="false">MIN(O40,K40*20)</f>
        <v>40</v>
      </c>
      <c r="Q40" s="7" t="str">
        <f aca="false">IF(N40&gt;=80,"즉시 착수",IF(N40&gt;=60,"조건부 착수",IF(N40&gt;=40,"보조도구","회피")))</f>
        <v>보조도구</v>
      </c>
      <c r="R40" s="7" t="str">
        <f aca="false">IF(P40&gt;=80,"즉시 착수",IF(P40&gt;=60,"조건부 착수",IF(P40&gt;=40,"보조도구","회피")))</f>
        <v>보조도구</v>
      </c>
      <c r="S40" s="7" t="str">
        <f aca="false">IF(COUNTIF(C40:L40,1)&gt;0,"⚠1점축","")</f>
        <v/>
      </c>
      <c r="T40" s="9" t="s">
        <v>101</v>
      </c>
    </row>
    <row r="41" customFormat="false" ht="15" hidden="false" customHeight="false" outlineLevel="0" collapsed="false">
      <c r="A41" s="3" t="s">
        <v>20</v>
      </c>
      <c r="B41" s="4" t="s">
        <v>102</v>
      </c>
      <c r="C41" s="5" t="n">
        <v>3.5</v>
      </c>
      <c r="D41" s="5" t="n">
        <v>3</v>
      </c>
      <c r="E41" s="5" t="n">
        <v>2.5</v>
      </c>
      <c r="F41" s="5" t="n">
        <v>3</v>
      </c>
      <c r="G41" s="5" t="n">
        <v>4</v>
      </c>
      <c r="H41" s="5" t="n">
        <v>3.5</v>
      </c>
      <c r="I41" s="5" t="n">
        <v>2</v>
      </c>
      <c r="J41" s="5" t="n">
        <v>2</v>
      </c>
      <c r="K41" s="5" t="n">
        <v>1.5</v>
      </c>
      <c r="L41" s="5" t="n">
        <v>2</v>
      </c>
      <c r="M41" s="5" t="n">
        <f aca="false">SUMPRODUCT(기준!$B$3:$K$3,C41:L41)*20</f>
        <v>57</v>
      </c>
      <c r="N41" s="6" t="n">
        <f aca="false">MIN(M41,K41*20)</f>
        <v>30</v>
      </c>
      <c r="O41" s="5" t="n">
        <f aca="false">SUMPRODUCT(기준!$B$4:$K$4,C41:L41)*20</f>
        <v>54.5</v>
      </c>
      <c r="P41" s="6" t="n">
        <f aca="false">MIN(O41,K41*20)</f>
        <v>30</v>
      </c>
      <c r="Q41" s="7" t="str">
        <f aca="false">IF(N41&gt;=80,"즉시 착수",IF(N41&gt;=60,"조건부 착수",IF(N41&gt;=40,"보조도구","회피")))</f>
        <v>회피</v>
      </c>
      <c r="R41" s="7" t="str">
        <f aca="false">IF(P41&gt;=80,"즉시 착수",IF(P41&gt;=60,"조건부 착수",IF(P41&gt;=40,"보조도구","회피")))</f>
        <v>회피</v>
      </c>
      <c r="S41" s="7" t="str">
        <f aca="false">IF(COUNTIF(C41:L41,1)&gt;0,"⚠1점축","")</f>
        <v/>
      </c>
      <c r="T41" s="9" t="s">
        <v>103</v>
      </c>
    </row>
  </sheetData>
  <autoFilter ref="A1:T41"/>
  <conditionalFormatting sqref="C2:L4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N2:N41">
    <cfRule type="colorScale" priority="3">
      <colorScale>
        <cfvo type="num" val="30"/>
        <cfvo type="num" val="55"/>
        <cfvo type="num" val="80"/>
        <color rgb="FFF8696B"/>
        <color rgb="FFFFEB84"/>
        <color rgb="FF63BE7B"/>
      </colorScale>
    </cfRule>
  </conditionalFormatting>
  <conditionalFormatting sqref="P2:P41">
    <cfRule type="colorScale" priority="4">
      <colorScale>
        <cfvo type="num" val="30"/>
        <cfvo type="num" val="55"/>
        <cfvo type="num" val="8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7"/>
  </cols>
  <sheetData>
    <row r="1" customFormat="false" ht="19.4" hidden="false" customHeight="false" outlineLevel="0" collapsed="false">
      <c r="A1" s="11" t="s">
        <v>104</v>
      </c>
    </row>
    <row r="2" customFormat="false" ht="17.15" hidden="false" customHeight="false" outlineLevel="0" collapsed="false"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M2" s="13" t="s">
        <v>105</v>
      </c>
    </row>
    <row r="3" customFormat="false" ht="15" hidden="false" customHeight="false" outlineLevel="0" collapsed="false">
      <c r="A3" s="13" t="s">
        <v>106</v>
      </c>
      <c r="B3" s="14" t="n">
        <v>0.15</v>
      </c>
      <c r="C3" s="14" t="n">
        <v>0.1</v>
      </c>
      <c r="D3" s="14" t="n">
        <v>0.2</v>
      </c>
      <c r="E3" s="14" t="n">
        <v>0.15</v>
      </c>
      <c r="F3" s="14" t="n">
        <v>0.1</v>
      </c>
      <c r="G3" s="14" t="n">
        <v>0.05</v>
      </c>
      <c r="H3" s="14" t="n">
        <v>0.15</v>
      </c>
      <c r="I3" s="14" t="n">
        <v>0.1</v>
      </c>
      <c r="J3" s="14" t="n">
        <v>0</v>
      </c>
      <c r="K3" s="14" t="n">
        <v>0</v>
      </c>
      <c r="M3" s="15" t="n">
        <f aca="false">SUM(B3:K3)</f>
        <v>1</v>
      </c>
    </row>
    <row r="4" customFormat="false" ht="15" hidden="false" customHeight="false" outlineLevel="0" collapsed="false">
      <c r="A4" s="13" t="s">
        <v>107</v>
      </c>
      <c r="B4" s="14" t="n">
        <v>0.1</v>
      </c>
      <c r="C4" s="14" t="n">
        <v>0.05</v>
      </c>
      <c r="D4" s="14" t="n">
        <v>0.1</v>
      </c>
      <c r="E4" s="14" t="n">
        <v>0.05</v>
      </c>
      <c r="F4" s="14" t="n">
        <v>0.1</v>
      </c>
      <c r="G4" s="14" t="n">
        <v>0.15</v>
      </c>
      <c r="H4" s="14" t="n">
        <v>0.1</v>
      </c>
      <c r="I4" s="14" t="n">
        <v>0.1</v>
      </c>
      <c r="J4" s="14" t="n">
        <v>0</v>
      </c>
      <c r="K4" s="14" t="n">
        <v>0.25</v>
      </c>
      <c r="M4" s="15" t="n">
        <f aca="false">SUM(B4:K4)</f>
        <v>1</v>
      </c>
    </row>
    <row r="6" customFormat="false" ht="15" hidden="false" customHeight="false" outlineLevel="0" collapsed="false">
      <c r="A6" s="11" t="s">
        <v>108</v>
      </c>
    </row>
    <row r="7" customFormat="false" ht="17.15" hidden="false" customHeight="false" outlineLevel="0" collapsed="false">
      <c r="A7" s="16" t="s">
        <v>109</v>
      </c>
    </row>
    <row r="8" customFormat="false" ht="17.15" hidden="false" customHeight="false" outlineLevel="0" collapsed="false">
      <c r="A8" s="16" t="s">
        <v>110</v>
      </c>
    </row>
    <row r="9" customFormat="false" ht="17.15" hidden="false" customHeight="false" outlineLevel="0" collapsed="false">
      <c r="A9" s="16" t="s">
        <v>111</v>
      </c>
    </row>
    <row r="10" customFormat="false" ht="17.15" hidden="false" customHeight="false" outlineLevel="0" collapsed="false">
      <c r="A10" s="16" t="s">
        <v>112</v>
      </c>
    </row>
    <row r="11" customFormat="false" ht="17.15" hidden="false" customHeight="false" outlineLevel="0" collapsed="false">
      <c r="A11" s="16" t="s">
        <v>113</v>
      </c>
    </row>
    <row r="12" customFormat="false" ht="17.15" hidden="false" customHeight="false" outlineLevel="0" collapsed="false">
      <c r="A12" s="16" t="s">
        <v>114</v>
      </c>
    </row>
    <row r="13" customFormat="false" ht="17.15" hidden="false" customHeight="false" outlineLevel="0" collapsed="false">
      <c r="A13" s="16" t="s">
        <v>115</v>
      </c>
    </row>
    <row r="14" customFormat="false" ht="17.15" hidden="false" customHeight="false" outlineLevel="0" collapsed="false">
      <c r="A14" s="16" t="s">
        <v>116</v>
      </c>
    </row>
    <row r="15" customFormat="false" ht="17.15" hidden="false" customHeight="false" outlineLevel="0" collapsed="false">
      <c r="A15" s="16" t="s">
        <v>117</v>
      </c>
    </row>
    <row r="16" customFormat="false" ht="17.15" hidden="false" customHeight="false" outlineLevel="0" collapsed="false">
      <c r="A16" s="16" t="s">
        <v>118</v>
      </c>
    </row>
    <row r="18" customFormat="false" ht="15" hidden="false" customHeight="false" outlineLevel="0" collapsed="false">
      <c r="A18" s="17" t="s">
        <v>119</v>
      </c>
    </row>
    <row r="19" customFormat="false" ht="15" hidden="false" customHeight="false" outlineLevel="0" collapsed="false">
      <c r="A19" s="17" t="s">
        <v>120</v>
      </c>
    </row>
    <row r="20" customFormat="false" ht="15" hidden="false" customHeight="false" outlineLevel="0" collapsed="false">
      <c r="A20" s="18" t="s">
        <v>121</v>
      </c>
    </row>
    <row r="21" customFormat="false" ht="15" hidden="false" customHeight="false" outlineLevel="0" collapsed="false">
      <c r="A21" s="17" t="s">
        <v>122</v>
      </c>
    </row>
    <row r="22" customFormat="false" ht="15" hidden="false" customHeight="false" outlineLevel="0" collapsed="false">
      <c r="A22" s="17" t="s">
        <v>123</v>
      </c>
    </row>
    <row r="23" customFormat="false" ht="15" hidden="false" customHeight="false" outlineLevel="0" collapsed="false">
      <c r="A23" s="17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2026-07-11T17:07:06Z</dcterms:created>
  <dc:creator>openpyxl</dc:creator>
  <dc:description/>
  <dc:language>en-US</dc:language>
  <cp:lastModifiedBy/>
  <dcterms:modified xsi:type="dcterms:W3CDTF">2026-07-11T17:07:06Z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